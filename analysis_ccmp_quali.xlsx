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blake/Dropbox/Tampa Bay Estuary Program/Research/BSS/RESULTS/"/>
    </mc:Choice>
  </mc:AlternateContent>
  <xr:revisionPtr revIDLastSave="0" documentId="13_ncr:1_{5791E2CC-6A4D-B348-82A4-28CED2B5E1E5}" xr6:coauthVersionLast="47" xr6:coauthVersionMax="47" xr10:uidLastSave="{00000000-0000-0000-0000-000000000000}"/>
  <bookViews>
    <workbookView xWindow="0" yWindow="500" windowWidth="28800" windowHeight="16540" xr2:uid="{C73264C3-FCB8-4B94-9938-0A00B16F019E}"/>
  </bookViews>
  <sheets>
    <sheet name="Coded Responses" sheetId="1" r:id="rId1"/>
    <sheet name="Long Format" sheetId="2" r:id="rId2"/>
    <sheet name="Summ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46" i="2" l="1"/>
  <c r="F446" i="2"/>
  <c r="E220" i="2"/>
  <c r="F220" i="2"/>
  <c r="E219" i="2"/>
  <c r="F219" i="2"/>
  <c r="E190" i="2"/>
  <c r="F190" i="2"/>
  <c r="E189" i="2"/>
  <c r="F189" i="2"/>
  <c r="E166" i="2"/>
  <c r="F166" i="2"/>
  <c r="E158" i="2"/>
  <c r="F158" i="2"/>
  <c r="E89" i="2"/>
  <c r="F89" i="2"/>
  <c r="E76" i="2"/>
  <c r="F76" i="2"/>
  <c r="E69" i="2"/>
  <c r="F69" i="2"/>
  <c r="E65" i="2"/>
  <c r="F65" i="2"/>
  <c r="E56" i="2"/>
  <c r="F56" i="2"/>
  <c r="E47" i="2"/>
  <c r="F47" i="2"/>
  <c r="E36" i="2"/>
  <c r="F36" i="2"/>
  <c r="F9" i="2"/>
  <c r="F2" i="2"/>
  <c r="D58" i="3"/>
  <c r="F59" i="3"/>
  <c r="F57" i="3"/>
  <c r="F56" i="3"/>
  <c r="F55" i="3"/>
  <c r="J50" i="3" s="1"/>
  <c r="F54" i="3"/>
  <c r="J49" i="3" s="1"/>
  <c r="F53" i="3"/>
  <c r="F52" i="3"/>
  <c r="F51" i="3"/>
  <c r="J39" i="3" s="1"/>
  <c r="F50" i="3"/>
  <c r="J38" i="3" s="1"/>
  <c r="F49" i="3"/>
  <c r="F48" i="3"/>
  <c r="F47" i="3"/>
  <c r="J36" i="3" s="1"/>
  <c r="F46" i="3"/>
  <c r="J35" i="3" s="1"/>
  <c r="F45" i="3"/>
  <c r="F44" i="3"/>
  <c r="F43" i="3"/>
  <c r="J44" i="3" s="1"/>
  <c r="F42" i="3"/>
  <c r="J43" i="3" s="1"/>
  <c r="F41" i="3"/>
  <c r="J42" i="3" s="1"/>
  <c r="F40" i="3"/>
  <c r="J41" i="3" s="1"/>
  <c r="F39" i="3"/>
  <c r="F38" i="3"/>
  <c r="F37" i="3"/>
  <c r="J47" i="3" s="1"/>
  <c r="F36" i="3"/>
  <c r="J46" i="3" s="1"/>
  <c r="F35" i="3"/>
  <c r="F34" i="3"/>
  <c r="F33" i="3"/>
  <c r="J33" i="3" s="1"/>
  <c r="F32" i="3"/>
  <c r="J32" i="3" s="1"/>
  <c r="F31" i="3"/>
  <c r="F30" i="3"/>
  <c r="F29" i="3"/>
  <c r="F28" i="3"/>
  <c r="J27" i="3" s="1"/>
  <c r="F27" i="3"/>
  <c r="F26" i="3"/>
  <c r="F25" i="3"/>
  <c r="J25" i="3" s="1"/>
  <c r="F24" i="3"/>
  <c r="J24" i="3" s="1"/>
  <c r="F23" i="3"/>
  <c r="F22" i="3"/>
  <c r="F21" i="3"/>
  <c r="J22" i="3" s="1"/>
  <c r="F20" i="3"/>
  <c r="J21" i="3" s="1"/>
  <c r="F19" i="3"/>
  <c r="J20" i="3" s="1"/>
  <c r="F18" i="3"/>
  <c r="F17" i="3"/>
  <c r="F16" i="3"/>
  <c r="F15" i="3"/>
  <c r="F14" i="3"/>
  <c r="F13" i="3"/>
  <c r="F12" i="3"/>
  <c r="J14" i="3" s="1"/>
  <c r="F11" i="3"/>
  <c r="J13" i="3" s="1"/>
  <c r="F10" i="3"/>
  <c r="F9" i="3"/>
  <c r="F8" i="3"/>
  <c r="J11" i="3" s="1"/>
  <c r="F7" i="3"/>
  <c r="J10" i="3" s="1"/>
  <c r="F6" i="3"/>
  <c r="J9" i="3" s="1"/>
  <c r="F5" i="3"/>
  <c r="J8" i="3" s="1"/>
  <c r="F4" i="3"/>
  <c r="F3" i="3"/>
  <c r="D1" i="3"/>
  <c r="F642" i="2"/>
  <c r="E642" i="2"/>
  <c r="F641" i="2"/>
  <c r="E641" i="2"/>
  <c r="F640" i="2"/>
  <c r="E640" i="2"/>
  <c r="F639" i="2"/>
  <c r="E639" i="2"/>
  <c r="F638" i="2"/>
  <c r="E638" i="2"/>
  <c r="F637" i="2"/>
  <c r="E637" i="2"/>
  <c r="F636" i="2"/>
  <c r="E636" i="2"/>
  <c r="F635" i="2"/>
  <c r="E635" i="2"/>
  <c r="F634" i="2"/>
  <c r="E634" i="2"/>
  <c r="F633" i="2"/>
  <c r="E633" i="2"/>
  <c r="F632" i="2"/>
  <c r="E632" i="2"/>
  <c r="F631" i="2"/>
  <c r="E631" i="2"/>
  <c r="F630" i="2"/>
  <c r="E630" i="2"/>
  <c r="F629" i="2"/>
  <c r="E629" i="2"/>
  <c r="F628" i="2"/>
  <c r="E628" i="2"/>
  <c r="F627" i="2"/>
  <c r="E627" i="2"/>
  <c r="F626" i="2"/>
  <c r="E626" i="2"/>
  <c r="F625" i="2"/>
  <c r="E625" i="2"/>
  <c r="F624" i="2"/>
  <c r="E624" i="2"/>
  <c r="F623" i="2"/>
  <c r="E623" i="2"/>
  <c r="F622" i="2"/>
  <c r="E622" i="2"/>
  <c r="F621" i="2"/>
  <c r="E621" i="2"/>
  <c r="F620" i="2"/>
  <c r="E620" i="2"/>
  <c r="F619" i="2"/>
  <c r="E619" i="2"/>
  <c r="F618" i="2"/>
  <c r="E618" i="2"/>
  <c r="F617" i="2"/>
  <c r="E617" i="2"/>
  <c r="F616" i="2"/>
  <c r="E616" i="2"/>
  <c r="F615" i="2"/>
  <c r="E615" i="2"/>
  <c r="F614" i="2"/>
  <c r="E614" i="2"/>
  <c r="F613" i="2"/>
  <c r="E613" i="2"/>
  <c r="F612" i="2"/>
  <c r="E612" i="2"/>
  <c r="F611" i="2"/>
  <c r="E611" i="2"/>
  <c r="F610" i="2"/>
  <c r="E610" i="2"/>
  <c r="F609" i="2"/>
  <c r="E609" i="2"/>
  <c r="F608" i="2"/>
  <c r="E608" i="2"/>
  <c r="F607" i="2"/>
  <c r="E607" i="2"/>
  <c r="F606" i="2"/>
  <c r="E606" i="2"/>
  <c r="F605" i="2"/>
  <c r="E605" i="2"/>
  <c r="F604" i="2"/>
  <c r="E604" i="2"/>
  <c r="F603" i="2"/>
  <c r="E603" i="2"/>
  <c r="F602" i="2"/>
  <c r="E602" i="2"/>
  <c r="F601" i="2"/>
  <c r="E601" i="2"/>
  <c r="F600" i="2"/>
  <c r="E600" i="2"/>
  <c r="F599" i="2"/>
  <c r="E599" i="2"/>
  <c r="F598" i="2"/>
  <c r="E598" i="2"/>
  <c r="F597" i="2"/>
  <c r="E597" i="2"/>
  <c r="F596" i="2"/>
  <c r="E596" i="2"/>
  <c r="F595" i="2"/>
  <c r="E595" i="2"/>
  <c r="F594" i="2"/>
  <c r="E594" i="2"/>
  <c r="F593" i="2"/>
  <c r="E593" i="2"/>
  <c r="F592" i="2"/>
  <c r="E592" i="2"/>
  <c r="F591" i="2"/>
  <c r="E591" i="2"/>
  <c r="F590" i="2"/>
  <c r="E590" i="2"/>
  <c r="F589" i="2"/>
  <c r="E589" i="2"/>
  <c r="F588" i="2"/>
  <c r="E588" i="2"/>
  <c r="F587" i="2"/>
  <c r="E587" i="2"/>
  <c r="F586" i="2"/>
  <c r="E586" i="2"/>
  <c r="F585" i="2"/>
  <c r="E585" i="2"/>
  <c r="F584" i="2"/>
  <c r="E584" i="2"/>
  <c r="F583" i="2"/>
  <c r="E583" i="2"/>
  <c r="F582" i="2"/>
  <c r="E582" i="2"/>
  <c r="F581" i="2"/>
  <c r="E581" i="2"/>
  <c r="F580" i="2"/>
  <c r="E580" i="2"/>
  <c r="F579" i="2"/>
  <c r="E579" i="2"/>
  <c r="F578" i="2"/>
  <c r="E578" i="2"/>
  <c r="F577" i="2"/>
  <c r="E577" i="2"/>
  <c r="F576" i="2"/>
  <c r="E576" i="2"/>
  <c r="F575" i="2"/>
  <c r="E575" i="2"/>
  <c r="F574" i="2"/>
  <c r="E574" i="2"/>
  <c r="F573" i="2"/>
  <c r="E573" i="2"/>
  <c r="F572" i="2"/>
  <c r="E572" i="2"/>
  <c r="F571" i="2"/>
  <c r="E571" i="2"/>
  <c r="F570" i="2"/>
  <c r="E570" i="2"/>
  <c r="F569" i="2"/>
  <c r="E569" i="2"/>
  <c r="F568" i="2"/>
  <c r="E568" i="2"/>
  <c r="F567" i="2"/>
  <c r="E567" i="2"/>
  <c r="F566" i="2"/>
  <c r="E566" i="2"/>
  <c r="F565" i="2"/>
  <c r="E565" i="2"/>
  <c r="F564" i="2"/>
  <c r="E564" i="2"/>
  <c r="F563" i="2"/>
  <c r="E563" i="2"/>
  <c r="F562" i="2"/>
  <c r="E562" i="2"/>
  <c r="F561" i="2"/>
  <c r="E561" i="2"/>
  <c r="F560" i="2"/>
  <c r="E560" i="2"/>
  <c r="F559" i="2"/>
  <c r="E559" i="2"/>
  <c r="F558" i="2"/>
  <c r="E558" i="2"/>
  <c r="F557" i="2"/>
  <c r="E557" i="2"/>
  <c r="F556" i="2"/>
  <c r="E556" i="2"/>
  <c r="F555" i="2"/>
  <c r="E555" i="2"/>
  <c r="F554" i="2"/>
  <c r="E554" i="2"/>
  <c r="F553" i="2"/>
  <c r="E553" i="2"/>
  <c r="F552" i="2"/>
  <c r="E552" i="2"/>
  <c r="F551" i="2"/>
  <c r="E551" i="2"/>
  <c r="F550" i="2"/>
  <c r="E550" i="2"/>
  <c r="F549" i="2"/>
  <c r="E549" i="2"/>
  <c r="F548" i="2"/>
  <c r="E548" i="2"/>
  <c r="F547" i="2"/>
  <c r="E547" i="2"/>
  <c r="F546" i="2"/>
  <c r="E546" i="2"/>
  <c r="F545" i="2"/>
  <c r="E545" i="2"/>
  <c r="F544" i="2"/>
  <c r="E544" i="2"/>
  <c r="F543" i="2"/>
  <c r="E543" i="2"/>
  <c r="F542" i="2"/>
  <c r="E542" i="2"/>
  <c r="F541" i="2"/>
  <c r="E541" i="2"/>
  <c r="F540" i="2"/>
  <c r="E540" i="2"/>
  <c r="F539" i="2"/>
  <c r="E539" i="2"/>
  <c r="F538" i="2"/>
  <c r="E538" i="2"/>
  <c r="F537" i="2"/>
  <c r="E537" i="2"/>
  <c r="F536" i="2"/>
  <c r="E536" i="2"/>
  <c r="F535" i="2"/>
  <c r="E535" i="2"/>
  <c r="F534" i="2"/>
  <c r="E534" i="2"/>
  <c r="F533" i="2"/>
  <c r="E533" i="2"/>
  <c r="F532" i="2"/>
  <c r="E532" i="2"/>
  <c r="F531" i="2"/>
  <c r="E531" i="2"/>
  <c r="F530" i="2"/>
  <c r="E530" i="2"/>
  <c r="F529" i="2"/>
  <c r="E529" i="2"/>
  <c r="F528" i="2"/>
  <c r="E528" i="2"/>
  <c r="F527" i="2"/>
  <c r="E527" i="2"/>
  <c r="F526" i="2"/>
  <c r="E526" i="2"/>
  <c r="F525" i="2"/>
  <c r="E525" i="2"/>
  <c r="F524" i="2"/>
  <c r="E524" i="2"/>
  <c r="F523" i="2"/>
  <c r="E523" i="2"/>
  <c r="F522" i="2"/>
  <c r="E522" i="2"/>
  <c r="F521" i="2"/>
  <c r="E521" i="2"/>
  <c r="F520" i="2"/>
  <c r="E520" i="2"/>
  <c r="F519" i="2"/>
  <c r="E519" i="2"/>
  <c r="F518" i="2"/>
  <c r="E518" i="2"/>
  <c r="F517" i="2"/>
  <c r="E517" i="2"/>
  <c r="F516" i="2"/>
  <c r="E516" i="2"/>
  <c r="F515" i="2"/>
  <c r="E515" i="2"/>
  <c r="F514" i="2"/>
  <c r="E514" i="2"/>
  <c r="F513" i="2"/>
  <c r="E513" i="2"/>
  <c r="F512" i="2"/>
  <c r="E512" i="2"/>
  <c r="F511" i="2"/>
  <c r="E511" i="2"/>
  <c r="F510" i="2"/>
  <c r="E510" i="2"/>
  <c r="F509" i="2"/>
  <c r="E509" i="2"/>
  <c r="F508" i="2"/>
  <c r="E508" i="2"/>
  <c r="F507" i="2"/>
  <c r="E507" i="2"/>
  <c r="F506" i="2"/>
  <c r="E506" i="2"/>
  <c r="F505" i="2"/>
  <c r="E505" i="2"/>
  <c r="F504" i="2"/>
  <c r="E504" i="2"/>
  <c r="F503" i="2"/>
  <c r="E503" i="2"/>
  <c r="F502" i="2"/>
  <c r="E502" i="2"/>
  <c r="F501" i="2"/>
  <c r="E501" i="2"/>
  <c r="F500" i="2"/>
  <c r="E500" i="2"/>
  <c r="F499" i="2"/>
  <c r="E499" i="2"/>
  <c r="F498" i="2"/>
  <c r="E498" i="2"/>
  <c r="F497" i="2"/>
  <c r="E497" i="2"/>
  <c r="F496" i="2"/>
  <c r="E496" i="2"/>
  <c r="F495" i="2"/>
  <c r="E495" i="2"/>
  <c r="F494" i="2"/>
  <c r="E494" i="2"/>
  <c r="F493" i="2"/>
  <c r="E493" i="2"/>
  <c r="F492" i="2"/>
  <c r="E492" i="2"/>
  <c r="F491" i="2"/>
  <c r="E491" i="2"/>
  <c r="F490" i="2"/>
  <c r="E490" i="2"/>
  <c r="F489" i="2"/>
  <c r="E489" i="2"/>
  <c r="F488" i="2"/>
  <c r="E488" i="2"/>
  <c r="F487" i="2"/>
  <c r="E487" i="2"/>
  <c r="F486" i="2"/>
  <c r="E486" i="2"/>
  <c r="F485" i="2"/>
  <c r="E485" i="2"/>
  <c r="F484" i="2"/>
  <c r="E484" i="2"/>
  <c r="F483" i="2"/>
  <c r="E483" i="2"/>
  <c r="F482" i="2"/>
  <c r="E482" i="2"/>
  <c r="F481" i="2"/>
  <c r="E481" i="2"/>
  <c r="F480" i="2"/>
  <c r="E480" i="2"/>
  <c r="F479" i="2"/>
  <c r="E479" i="2"/>
  <c r="F478" i="2"/>
  <c r="E478" i="2"/>
  <c r="F477" i="2"/>
  <c r="E477" i="2"/>
  <c r="F476" i="2"/>
  <c r="E476" i="2"/>
  <c r="F475" i="2"/>
  <c r="E475" i="2"/>
  <c r="F474" i="2"/>
  <c r="E474" i="2"/>
  <c r="F473" i="2"/>
  <c r="E473" i="2"/>
  <c r="F472" i="2"/>
  <c r="E472" i="2"/>
  <c r="F471" i="2"/>
  <c r="E471" i="2"/>
  <c r="F470" i="2"/>
  <c r="E470" i="2"/>
  <c r="F469" i="2"/>
  <c r="E469" i="2"/>
  <c r="F468" i="2"/>
  <c r="E468" i="2"/>
  <c r="F467" i="2"/>
  <c r="E467" i="2"/>
  <c r="F466" i="2"/>
  <c r="E466" i="2"/>
  <c r="F465" i="2"/>
  <c r="E465" i="2"/>
  <c r="F464" i="2"/>
  <c r="E464" i="2"/>
  <c r="F463" i="2"/>
  <c r="E463" i="2"/>
  <c r="F462" i="2"/>
  <c r="E462" i="2"/>
  <c r="F461" i="2"/>
  <c r="E461" i="2"/>
  <c r="F460" i="2"/>
  <c r="E460" i="2"/>
  <c r="F459" i="2"/>
  <c r="E459" i="2"/>
  <c r="F458" i="2"/>
  <c r="E458" i="2"/>
  <c r="F457" i="2"/>
  <c r="E457" i="2"/>
  <c r="F456" i="2"/>
  <c r="E456" i="2"/>
  <c r="F455" i="2"/>
  <c r="E455" i="2"/>
  <c r="F454" i="2"/>
  <c r="E454" i="2"/>
  <c r="F453" i="2"/>
  <c r="E453" i="2"/>
  <c r="F452" i="2"/>
  <c r="E452" i="2"/>
  <c r="F451" i="2"/>
  <c r="E451" i="2"/>
  <c r="F450" i="2"/>
  <c r="E450" i="2"/>
  <c r="F449" i="2"/>
  <c r="E449" i="2"/>
  <c r="F448" i="2"/>
  <c r="E448" i="2"/>
  <c r="F447" i="2"/>
  <c r="E447" i="2"/>
  <c r="F445" i="2"/>
  <c r="E445" i="2"/>
  <c r="F444" i="2"/>
  <c r="E444" i="2"/>
  <c r="F443" i="2"/>
  <c r="E443" i="2"/>
  <c r="F442" i="2"/>
  <c r="E442" i="2"/>
  <c r="F441" i="2"/>
  <c r="E441" i="2"/>
  <c r="F440" i="2"/>
  <c r="E440" i="2"/>
  <c r="F439" i="2"/>
  <c r="E439" i="2"/>
  <c r="F438" i="2"/>
  <c r="E438" i="2"/>
  <c r="F437" i="2"/>
  <c r="E437" i="2"/>
  <c r="F436" i="2"/>
  <c r="E436" i="2"/>
  <c r="F435" i="2"/>
  <c r="E435" i="2"/>
  <c r="F434" i="2"/>
  <c r="E434" i="2"/>
  <c r="F433" i="2"/>
  <c r="E433" i="2"/>
  <c r="F432" i="2"/>
  <c r="E432" i="2"/>
  <c r="F431" i="2"/>
  <c r="E431" i="2"/>
  <c r="F430" i="2"/>
  <c r="E430" i="2"/>
  <c r="F429" i="2"/>
  <c r="E429" i="2"/>
  <c r="F428" i="2"/>
  <c r="E428" i="2"/>
  <c r="F427" i="2"/>
  <c r="E427" i="2"/>
  <c r="F426" i="2"/>
  <c r="E426" i="2"/>
  <c r="F425" i="2"/>
  <c r="E425" i="2"/>
  <c r="F424" i="2"/>
  <c r="E424" i="2"/>
  <c r="F423" i="2"/>
  <c r="E423" i="2"/>
  <c r="F422" i="2"/>
  <c r="E422" i="2"/>
  <c r="F421" i="2"/>
  <c r="E421" i="2"/>
  <c r="F420" i="2"/>
  <c r="E420" i="2"/>
  <c r="F419" i="2"/>
  <c r="E419" i="2"/>
  <c r="F418" i="2"/>
  <c r="E418" i="2"/>
  <c r="F417" i="2"/>
  <c r="E417" i="2"/>
  <c r="F416" i="2"/>
  <c r="E416" i="2"/>
  <c r="F415" i="2"/>
  <c r="E415" i="2"/>
  <c r="F414" i="2"/>
  <c r="E414" i="2"/>
  <c r="F413" i="2"/>
  <c r="E413" i="2"/>
  <c r="F412" i="2"/>
  <c r="E412" i="2"/>
  <c r="F411" i="2"/>
  <c r="E411" i="2"/>
  <c r="F410" i="2"/>
  <c r="E410" i="2"/>
  <c r="F409" i="2"/>
  <c r="E409" i="2"/>
  <c r="F408" i="2"/>
  <c r="E408" i="2"/>
  <c r="F407" i="2"/>
  <c r="E407" i="2"/>
  <c r="F406" i="2"/>
  <c r="E406" i="2"/>
  <c r="F405" i="2"/>
  <c r="E405" i="2"/>
  <c r="F404" i="2"/>
  <c r="E404" i="2"/>
  <c r="F403" i="2"/>
  <c r="E403" i="2"/>
  <c r="F402" i="2"/>
  <c r="E402" i="2"/>
  <c r="F401" i="2"/>
  <c r="E401" i="2"/>
  <c r="F400" i="2"/>
  <c r="E400" i="2"/>
  <c r="F399" i="2"/>
  <c r="E399" i="2"/>
  <c r="F398" i="2"/>
  <c r="E398" i="2"/>
  <c r="F397" i="2"/>
  <c r="E397" i="2"/>
  <c r="F396" i="2"/>
  <c r="E396" i="2"/>
  <c r="F395" i="2"/>
  <c r="E395" i="2"/>
  <c r="F394" i="2"/>
  <c r="E394" i="2"/>
  <c r="F393" i="2"/>
  <c r="E393" i="2"/>
  <c r="F392" i="2"/>
  <c r="E392" i="2"/>
  <c r="F391" i="2"/>
  <c r="E391" i="2"/>
  <c r="F390" i="2"/>
  <c r="E390" i="2"/>
  <c r="F389" i="2"/>
  <c r="E389" i="2"/>
  <c r="F388" i="2"/>
  <c r="E388" i="2"/>
  <c r="F387" i="2"/>
  <c r="E387" i="2"/>
  <c r="F386" i="2"/>
  <c r="E386" i="2"/>
  <c r="F385" i="2"/>
  <c r="E385" i="2"/>
  <c r="F384" i="2"/>
  <c r="E384" i="2"/>
  <c r="F383" i="2"/>
  <c r="E383" i="2"/>
  <c r="F382" i="2"/>
  <c r="E382" i="2"/>
  <c r="F381" i="2"/>
  <c r="E381" i="2"/>
  <c r="F380" i="2"/>
  <c r="E380" i="2"/>
  <c r="F379" i="2"/>
  <c r="E379" i="2"/>
  <c r="F378" i="2"/>
  <c r="E378" i="2"/>
  <c r="F377" i="2"/>
  <c r="E377" i="2"/>
  <c r="F376" i="2"/>
  <c r="E376" i="2"/>
  <c r="F375" i="2"/>
  <c r="E375" i="2"/>
  <c r="F374" i="2"/>
  <c r="E374" i="2"/>
  <c r="F373" i="2"/>
  <c r="E373" i="2"/>
  <c r="F372" i="2"/>
  <c r="E372" i="2"/>
  <c r="F371" i="2"/>
  <c r="E371" i="2"/>
  <c r="F370" i="2"/>
  <c r="E370" i="2"/>
  <c r="F369" i="2"/>
  <c r="E369" i="2"/>
  <c r="F368" i="2"/>
  <c r="E368" i="2"/>
  <c r="F367" i="2"/>
  <c r="E367" i="2"/>
  <c r="F366" i="2"/>
  <c r="E366" i="2"/>
  <c r="F365" i="2"/>
  <c r="E365" i="2"/>
  <c r="F364" i="2"/>
  <c r="E364" i="2"/>
  <c r="F363" i="2"/>
  <c r="E363" i="2"/>
  <c r="F362" i="2"/>
  <c r="E362" i="2"/>
  <c r="F361" i="2"/>
  <c r="E361" i="2"/>
  <c r="F360" i="2"/>
  <c r="E360" i="2"/>
  <c r="F359" i="2"/>
  <c r="E359" i="2"/>
  <c r="F358" i="2"/>
  <c r="E358" i="2"/>
  <c r="F357" i="2"/>
  <c r="E357" i="2"/>
  <c r="F356" i="2"/>
  <c r="E356" i="2"/>
  <c r="F355" i="2"/>
  <c r="E355" i="2"/>
  <c r="F354" i="2"/>
  <c r="E354" i="2"/>
  <c r="F353" i="2"/>
  <c r="E353" i="2"/>
  <c r="F352" i="2"/>
  <c r="E352" i="2"/>
  <c r="F351" i="2"/>
  <c r="E351" i="2"/>
  <c r="F350" i="2"/>
  <c r="E350" i="2"/>
  <c r="F349" i="2"/>
  <c r="E349" i="2"/>
  <c r="F348" i="2"/>
  <c r="E348" i="2"/>
  <c r="F347" i="2"/>
  <c r="E347" i="2"/>
  <c r="F346" i="2"/>
  <c r="E346" i="2"/>
  <c r="F345" i="2"/>
  <c r="E345" i="2"/>
  <c r="F344" i="2"/>
  <c r="E344" i="2"/>
  <c r="F343" i="2"/>
  <c r="E343" i="2"/>
  <c r="F342" i="2"/>
  <c r="E342" i="2"/>
  <c r="F341" i="2"/>
  <c r="E341" i="2"/>
  <c r="F340" i="2"/>
  <c r="E340" i="2"/>
  <c r="F339" i="2"/>
  <c r="E339" i="2"/>
  <c r="F338" i="2"/>
  <c r="E338" i="2"/>
  <c r="F337" i="2"/>
  <c r="E337" i="2"/>
  <c r="F336" i="2"/>
  <c r="E336" i="2"/>
  <c r="F335" i="2"/>
  <c r="E335" i="2"/>
  <c r="F334" i="2"/>
  <c r="E334" i="2"/>
  <c r="F333" i="2"/>
  <c r="E333" i="2"/>
  <c r="F332" i="2"/>
  <c r="E332" i="2"/>
  <c r="F331" i="2"/>
  <c r="E331" i="2"/>
  <c r="F330" i="2"/>
  <c r="E330" i="2"/>
  <c r="F329" i="2"/>
  <c r="E329" i="2"/>
  <c r="F328" i="2"/>
  <c r="E328" i="2"/>
  <c r="F327" i="2"/>
  <c r="E327" i="2"/>
  <c r="F326" i="2"/>
  <c r="E326" i="2"/>
  <c r="F325" i="2"/>
  <c r="E325" i="2"/>
  <c r="F324" i="2"/>
  <c r="E324" i="2"/>
  <c r="F323" i="2"/>
  <c r="E323" i="2"/>
  <c r="F322" i="2"/>
  <c r="E322" i="2"/>
  <c r="F321" i="2"/>
  <c r="E321" i="2"/>
  <c r="F320" i="2"/>
  <c r="E320" i="2"/>
  <c r="F319" i="2"/>
  <c r="E319" i="2"/>
  <c r="F318" i="2"/>
  <c r="E318" i="2"/>
  <c r="F317" i="2"/>
  <c r="E317" i="2"/>
  <c r="F316" i="2"/>
  <c r="E316" i="2"/>
  <c r="F315" i="2"/>
  <c r="E315" i="2"/>
  <c r="F314" i="2"/>
  <c r="E314" i="2"/>
  <c r="F313" i="2"/>
  <c r="E313" i="2"/>
  <c r="F312" i="2"/>
  <c r="E312" i="2"/>
  <c r="F311" i="2"/>
  <c r="E311" i="2"/>
  <c r="F310" i="2"/>
  <c r="E310" i="2"/>
  <c r="F309" i="2"/>
  <c r="E309" i="2"/>
  <c r="F308" i="2"/>
  <c r="E308" i="2"/>
  <c r="F307" i="2"/>
  <c r="E307" i="2"/>
  <c r="F306" i="2"/>
  <c r="E306" i="2"/>
  <c r="F305" i="2"/>
  <c r="E305" i="2"/>
  <c r="F304" i="2"/>
  <c r="E304" i="2"/>
  <c r="F303" i="2"/>
  <c r="E303" i="2"/>
  <c r="F302" i="2"/>
  <c r="E302" i="2"/>
  <c r="F301" i="2"/>
  <c r="E301" i="2"/>
  <c r="F300" i="2"/>
  <c r="E300" i="2"/>
  <c r="F299" i="2"/>
  <c r="E299" i="2"/>
  <c r="F298" i="2"/>
  <c r="E298" i="2"/>
  <c r="F297" i="2"/>
  <c r="E297" i="2"/>
  <c r="F296" i="2"/>
  <c r="E296" i="2"/>
  <c r="F295" i="2"/>
  <c r="E295" i="2"/>
  <c r="F294" i="2"/>
  <c r="E294" i="2"/>
  <c r="F293" i="2"/>
  <c r="E293" i="2"/>
  <c r="F292" i="2"/>
  <c r="E292" i="2"/>
  <c r="F291" i="2"/>
  <c r="E291" i="2"/>
  <c r="F290" i="2"/>
  <c r="E290" i="2"/>
  <c r="F289" i="2"/>
  <c r="E289" i="2"/>
  <c r="F288" i="2"/>
  <c r="E288" i="2"/>
  <c r="F287" i="2"/>
  <c r="E287" i="2"/>
  <c r="F286" i="2"/>
  <c r="E286" i="2"/>
  <c r="F285" i="2"/>
  <c r="E285" i="2"/>
  <c r="F284" i="2"/>
  <c r="E284" i="2"/>
  <c r="F283" i="2"/>
  <c r="E283" i="2"/>
  <c r="F282" i="2"/>
  <c r="E282" i="2"/>
  <c r="F281" i="2"/>
  <c r="E281" i="2"/>
  <c r="F280" i="2"/>
  <c r="E280" i="2"/>
  <c r="F279" i="2"/>
  <c r="E279" i="2"/>
  <c r="F278" i="2"/>
  <c r="E278" i="2"/>
  <c r="F277" i="2"/>
  <c r="E277" i="2"/>
  <c r="F276" i="2"/>
  <c r="E276" i="2"/>
  <c r="F275" i="2"/>
  <c r="E275" i="2"/>
  <c r="F274" i="2"/>
  <c r="E274" i="2"/>
  <c r="F273" i="2"/>
  <c r="E273" i="2"/>
  <c r="F272" i="2"/>
  <c r="E272" i="2"/>
  <c r="F271" i="2"/>
  <c r="E271" i="2"/>
  <c r="F270" i="2"/>
  <c r="E270" i="2"/>
  <c r="F269" i="2"/>
  <c r="E269" i="2"/>
  <c r="F268" i="2"/>
  <c r="E268" i="2"/>
  <c r="F267" i="2"/>
  <c r="E267" i="2"/>
  <c r="F266" i="2"/>
  <c r="E266" i="2"/>
  <c r="F265" i="2"/>
  <c r="E265" i="2"/>
  <c r="F264" i="2"/>
  <c r="E264" i="2"/>
  <c r="F263" i="2"/>
  <c r="E263" i="2"/>
  <c r="F262" i="2"/>
  <c r="E262" i="2"/>
  <c r="F261" i="2"/>
  <c r="E261" i="2"/>
  <c r="F260" i="2"/>
  <c r="E260" i="2"/>
  <c r="F259" i="2"/>
  <c r="E259" i="2"/>
  <c r="F258" i="2"/>
  <c r="E258" i="2"/>
  <c r="F257" i="2"/>
  <c r="E257" i="2"/>
  <c r="F256" i="2"/>
  <c r="E256" i="2"/>
  <c r="F255" i="2"/>
  <c r="E255" i="2"/>
  <c r="F254" i="2"/>
  <c r="E254" i="2"/>
  <c r="F253" i="2"/>
  <c r="E253" i="2"/>
  <c r="F252" i="2"/>
  <c r="E252" i="2"/>
  <c r="F251" i="2"/>
  <c r="E251" i="2"/>
  <c r="F250" i="2"/>
  <c r="E250" i="2"/>
  <c r="F249" i="2"/>
  <c r="E249" i="2"/>
  <c r="F248" i="2"/>
  <c r="E248" i="2"/>
  <c r="F247" i="2"/>
  <c r="E247" i="2"/>
  <c r="F246" i="2"/>
  <c r="E246" i="2"/>
  <c r="F245" i="2"/>
  <c r="E245" i="2"/>
  <c r="F244" i="2"/>
  <c r="E244" i="2"/>
  <c r="F243" i="2"/>
  <c r="E243" i="2"/>
  <c r="F242" i="2"/>
  <c r="E242" i="2"/>
  <c r="F241" i="2"/>
  <c r="E241" i="2"/>
  <c r="F240" i="2"/>
  <c r="E240" i="2"/>
  <c r="F239" i="2"/>
  <c r="E239" i="2"/>
  <c r="F238" i="2"/>
  <c r="E238" i="2"/>
  <c r="F237" i="2"/>
  <c r="E237" i="2"/>
  <c r="F236" i="2"/>
  <c r="E236" i="2"/>
  <c r="F235" i="2"/>
  <c r="E235" i="2"/>
  <c r="F234" i="2"/>
  <c r="E234" i="2"/>
  <c r="F233" i="2"/>
  <c r="E233" i="2"/>
  <c r="F232" i="2"/>
  <c r="E232" i="2"/>
  <c r="F231" i="2"/>
  <c r="E231" i="2"/>
  <c r="F230" i="2"/>
  <c r="E230" i="2"/>
  <c r="F229" i="2"/>
  <c r="E229" i="2"/>
  <c r="F228" i="2"/>
  <c r="E228" i="2"/>
  <c r="F227" i="2"/>
  <c r="E227" i="2"/>
  <c r="F226" i="2"/>
  <c r="E226" i="2"/>
  <c r="F225" i="2"/>
  <c r="E225" i="2"/>
  <c r="F224" i="2"/>
  <c r="E224" i="2"/>
  <c r="F223" i="2"/>
  <c r="E223" i="2"/>
  <c r="F222" i="2"/>
  <c r="E222" i="2"/>
  <c r="F221" i="2"/>
  <c r="E221" i="2"/>
  <c r="F218" i="2"/>
  <c r="E218" i="2"/>
  <c r="F217" i="2"/>
  <c r="E217" i="2"/>
  <c r="F216" i="2"/>
  <c r="E216" i="2"/>
  <c r="F215" i="2"/>
  <c r="E215" i="2"/>
  <c r="F214" i="2"/>
  <c r="E214" i="2"/>
  <c r="F213" i="2"/>
  <c r="E213" i="2"/>
  <c r="F212" i="2"/>
  <c r="E212" i="2"/>
  <c r="F211" i="2"/>
  <c r="E211" i="2"/>
  <c r="F210" i="2"/>
  <c r="E210" i="2"/>
  <c r="F209" i="2"/>
  <c r="E209" i="2"/>
  <c r="F208" i="2"/>
  <c r="E208" i="2"/>
  <c r="F207" i="2"/>
  <c r="E207" i="2"/>
  <c r="F206" i="2"/>
  <c r="E206" i="2"/>
  <c r="F205" i="2"/>
  <c r="E205" i="2"/>
  <c r="F204" i="2"/>
  <c r="E204" i="2"/>
  <c r="F203" i="2"/>
  <c r="E203" i="2"/>
  <c r="F202" i="2"/>
  <c r="E202" i="2"/>
  <c r="F201" i="2"/>
  <c r="E201" i="2"/>
  <c r="F200" i="2"/>
  <c r="E200" i="2"/>
  <c r="F199" i="2"/>
  <c r="E199" i="2"/>
  <c r="F198" i="2"/>
  <c r="E198" i="2"/>
  <c r="F197" i="2"/>
  <c r="E197" i="2"/>
  <c r="F196" i="2"/>
  <c r="E196" i="2"/>
  <c r="F195" i="2"/>
  <c r="E195" i="2"/>
  <c r="F194" i="2"/>
  <c r="E194" i="2"/>
  <c r="F193" i="2"/>
  <c r="E193" i="2"/>
  <c r="F192" i="2"/>
  <c r="E192" i="2"/>
  <c r="F191" i="2"/>
  <c r="E191" i="2"/>
  <c r="F188" i="2"/>
  <c r="E188" i="2"/>
  <c r="F187" i="2"/>
  <c r="E187" i="2"/>
  <c r="F186" i="2"/>
  <c r="E186" i="2"/>
  <c r="F185" i="2"/>
  <c r="E185" i="2"/>
  <c r="F184" i="2"/>
  <c r="E184" i="2"/>
  <c r="F183" i="2"/>
  <c r="E183" i="2"/>
  <c r="F182" i="2"/>
  <c r="E182" i="2"/>
  <c r="F181" i="2"/>
  <c r="E181" i="2"/>
  <c r="F180" i="2"/>
  <c r="E180" i="2"/>
  <c r="F179" i="2"/>
  <c r="E179" i="2"/>
  <c r="F178" i="2"/>
  <c r="E178" i="2"/>
  <c r="F177" i="2"/>
  <c r="E177" i="2"/>
  <c r="F176" i="2"/>
  <c r="E176" i="2"/>
  <c r="F175" i="2"/>
  <c r="E175" i="2"/>
  <c r="F174" i="2"/>
  <c r="E174" i="2"/>
  <c r="F173" i="2"/>
  <c r="E173" i="2"/>
  <c r="F172" i="2"/>
  <c r="E172" i="2"/>
  <c r="F171" i="2"/>
  <c r="E171" i="2"/>
  <c r="F170" i="2"/>
  <c r="E170" i="2"/>
  <c r="F169" i="2"/>
  <c r="E169" i="2"/>
  <c r="F168" i="2"/>
  <c r="E168" i="2"/>
  <c r="F167" i="2"/>
  <c r="E167" i="2"/>
  <c r="F165" i="2"/>
  <c r="E165" i="2"/>
  <c r="F164" i="2"/>
  <c r="E164" i="2"/>
  <c r="F163" i="2"/>
  <c r="E163" i="2"/>
  <c r="F162" i="2"/>
  <c r="E162" i="2"/>
  <c r="F161" i="2"/>
  <c r="E161" i="2"/>
  <c r="F160" i="2"/>
  <c r="E160" i="2"/>
  <c r="F159" i="2"/>
  <c r="E159" i="2"/>
  <c r="F157" i="2"/>
  <c r="E157" i="2"/>
  <c r="F156" i="2"/>
  <c r="E156" i="2"/>
  <c r="F155" i="2"/>
  <c r="E155" i="2"/>
  <c r="F154" i="2"/>
  <c r="E154" i="2"/>
  <c r="F153" i="2"/>
  <c r="E153" i="2"/>
  <c r="F152" i="2"/>
  <c r="E152" i="2"/>
  <c r="F151" i="2"/>
  <c r="E151" i="2"/>
  <c r="F150" i="2"/>
  <c r="E150" i="2"/>
  <c r="F149" i="2"/>
  <c r="E149" i="2"/>
  <c r="F148" i="2"/>
  <c r="E148" i="2"/>
  <c r="F147" i="2"/>
  <c r="E147" i="2"/>
  <c r="F146" i="2"/>
  <c r="E146" i="2"/>
  <c r="F145" i="2"/>
  <c r="E145" i="2"/>
  <c r="F144" i="2"/>
  <c r="E144" i="2"/>
  <c r="F143" i="2"/>
  <c r="E143" i="2"/>
  <c r="F142" i="2"/>
  <c r="E142" i="2"/>
  <c r="F141" i="2"/>
  <c r="E141" i="2"/>
  <c r="F140" i="2"/>
  <c r="E140" i="2"/>
  <c r="F139" i="2"/>
  <c r="E139" i="2"/>
  <c r="F138" i="2"/>
  <c r="E138" i="2"/>
  <c r="F137" i="2"/>
  <c r="E137" i="2"/>
  <c r="F136" i="2"/>
  <c r="E136" i="2"/>
  <c r="F135" i="2"/>
  <c r="E135" i="2"/>
  <c r="F134" i="2"/>
  <c r="E134" i="2"/>
  <c r="F133" i="2"/>
  <c r="E133" i="2"/>
  <c r="F132" i="2"/>
  <c r="E132" i="2"/>
  <c r="F131" i="2"/>
  <c r="E131" i="2"/>
  <c r="F130" i="2"/>
  <c r="E130" i="2"/>
  <c r="F129" i="2"/>
  <c r="E129" i="2"/>
  <c r="F128" i="2"/>
  <c r="E128" i="2"/>
  <c r="F127" i="2"/>
  <c r="E127" i="2"/>
  <c r="F126" i="2"/>
  <c r="E126" i="2"/>
  <c r="F125" i="2"/>
  <c r="E125" i="2"/>
  <c r="F124" i="2"/>
  <c r="E124" i="2"/>
  <c r="F123" i="2"/>
  <c r="E123" i="2"/>
  <c r="F122" i="2"/>
  <c r="E122" i="2"/>
  <c r="F121" i="2"/>
  <c r="E121" i="2"/>
  <c r="F120" i="2"/>
  <c r="E120" i="2"/>
  <c r="F119" i="2"/>
  <c r="E119" i="2"/>
  <c r="F118" i="2"/>
  <c r="E118" i="2"/>
  <c r="F117" i="2"/>
  <c r="E117" i="2"/>
  <c r="F116" i="2"/>
  <c r="E116" i="2"/>
  <c r="F115" i="2"/>
  <c r="E115" i="2"/>
  <c r="F114" i="2"/>
  <c r="E114" i="2"/>
  <c r="F113" i="2"/>
  <c r="E113" i="2"/>
  <c r="F112" i="2"/>
  <c r="E112" i="2"/>
  <c r="F111" i="2"/>
  <c r="E111" i="2"/>
  <c r="F110" i="2"/>
  <c r="E110" i="2"/>
  <c r="F109" i="2"/>
  <c r="E109" i="2"/>
  <c r="F108" i="2"/>
  <c r="E108" i="2"/>
  <c r="F107" i="2"/>
  <c r="E107" i="2"/>
  <c r="F106" i="2"/>
  <c r="E106" i="2"/>
  <c r="F105" i="2"/>
  <c r="E105" i="2"/>
  <c r="F104" i="2"/>
  <c r="E104" i="2"/>
  <c r="F103" i="2"/>
  <c r="E103" i="2"/>
  <c r="F102" i="2"/>
  <c r="E102" i="2"/>
  <c r="F101" i="2"/>
  <c r="E101" i="2"/>
  <c r="F100" i="2"/>
  <c r="E100" i="2"/>
  <c r="F99" i="2"/>
  <c r="E99" i="2"/>
  <c r="F98" i="2"/>
  <c r="E98" i="2"/>
  <c r="F97" i="2"/>
  <c r="E97" i="2"/>
  <c r="F96" i="2"/>
  <c r="E96" i="2"/>
  <c r="F95" i="2"/>
  <c r="E95" i="2"/>
  <c r="F94" i="2"/>
  <c r="E94" i="2"/>
  <c r="F93" i="2"/>
  <c r="E93" i="2"/>
  <c r="F92" i="2"/>
  <c r="E92" i="2"/>
  <c r="F91" i="2"/>
  <c r="E91" i="2"/>
  <c r="F90" i="2"/>
  <c r="E90" i="2"/>
  <c r="F88" i="2"/>
  <c r="E88" i="2"/>
  <c r="F87" i="2"/>
  <c r="E87" i="2"/>
  <c r="F86" i="2"/>
  <c r="E86" i="2"/>
  <c r="F85" i="2"/>
  <c r="E85" i="2"/>
  <c r="F84" i="2"/>
  <c r="E84" i="2"/>
  <c r="F83" i="2"/>
  <c r="E83" i="2"/>
  <c r="F82" i="2"/>
  <c r="E82" i="2"/>
  <c r="F81" i="2"/>
  <c r="E81" i="2"/>
  <c r="F80" i="2"/>
  <c r="E80" i="2"/>
  <c r="F79" i="2"/>
  <c r="E79" i="2"/>
  <c r="F78" i="2"/>
  <c r="E78" i="2"/>
  <c r="F77" i="2"/>
  <c r="E77" i="2"/>
  <c r="F75" i="2"/>
  <c r="E75" i="2"/>
  <c r="F74" i="2"/>
  <c r="E74" i="2"/>
  <c r="F73" i="2"/>
  <c r="E73" i="2"/>
  <c r="F72" i="2"/>
  <c r="E72" i="2"/>
  <c r="F71" i="2"/>
  <c r="E71" i="2"/>
  <c r="F70" i="2"/>
  <c r="E70" i="2"/>
  <c r="F68" i="2"/>
  <c r="E68" i="2"/>
  <c r="F67" i="2"/>
  <c r="E67" i="2"/>
  <c r="F66" i="2"/>
  <c r="E66" i="2"/>
  <c r="F64" i="2"/>
  <c r="E64" i="2"/>
  <c r="F63" i="2"/>
  <c r="E63" i="2"/>
  <c r="F62" i="2"/>
  <c r="E62" i="2"/>
  <c r="F61" i="2"/>
  <c r="E61" i="2"/>
  <c r="F60" i="2"/>
  <c r="E60" i="2"/>
  <c r="F59" i="2"/>
  <c r="E59" i="2"/>
  <c r="F58" i="2"/>
  <c r="E58" i="2"/>
  <c r="F57" i="2"/>
  <c r="E57" i="2"/>
  <c r="F55" i="2"/>
  <c r="E55" i="2"/>
  <c r="F54" i="2"/>
  <c r="E54" i="2"/>
  <c r="F53" i="2"/>
  <c r="E53" i="2"/>
  <c r="F52" i="2"/>
  <c r="E52" i="2"/>
  <c r="F51" i="2"/>
  <c r="E51" i="2"/>
  <c r="F50" i="2"/>
  <c r="E50" i="2"/>
  <c r="F49" i="2"/>
  <c r="E49" i="2"/>
  <c r="F48" i="2"/>
  <c r="E48" i="2"/>
  <c r="F46" i="2"/>
  <c r="E46" i="2"/>
  <c r="F45" i="2"/>
  <c r="E45" i="2"/>
  <c r="F44" i="2"/>
  <c r="E44" i="2"/>
  <c r="F43" i="2"/>
  <c r="E43" i="2"/>
  <c r="F42" i="2"/>
  <c r="E42" i="2"/>
  <c r="F41" i="2"/>
  <c r="E41" i="2"/>
  <c r="F40" i="2"/>
  <c r="E40" i="2"/>
  <c r="F39" i="2"/>
  <c r="E39" i="2"/>
  <c r="F38" i="2"/>
  <c r="E38" i="2"/>
  <c r="F37" i="2"/>
  <c r="E37" i="2"/>
  <c r="F35" i="2"/>
  <c r="E35" i="2"/>
  <c r="F34" i="2"/>
  <c r="E34" i="2"/>
  <c r="F33" i="2"/>
  <c r="E33" i="2"/>
  <c r="F32" i="2"/>
  <c r="E32" i="2"/>
  <c r="F31" i="2"/>
  <c r="E31" i="2"/>
  <c r="F30" i="2"/>
  <c r="E30" i="2"/>
  <c r="F29" i="2"/>
  <c r="E29" i="2"/>
  <c r="F28" i="2"/>
  <c r="E28" i="2"/>
  <c r="F27" i="2"/>
  <c r="E27" i="2"/>
  <c r="F26" i="2"/>
  <c r="E26" i="2"/>
  <c r="F25" i="2"/>
  <c r="E25" i="2"/>
  <c r="F24" i="2"/>
  <c r="E24" i="2"/>
  <c r="F23" i="2"/>
  <c r="E23" i="2"/>
  <c r="F22" i="2"/>
  <c r="E22" i="2"/>
  <c r="F21" i="2"/>
  <c r="E21" i="2"/>
  <c r="F20" i="2"/>
  <c r="E20" i="2"/>
  <c r="F19" i="2"/>
  <c r="E19" i="2"/>
  <c r="F18" i="2"/>
  <c r="E18" i="2"/>
  <c r="F17" i="2"/>
  <c r="E17" i="2"/>
  <c r="F16" i="2"/>
  <c r="E16" i="2"/>
  <c r="F15" i="2"/>
  <c r="E15" i="2"/>
  <c r="F14" i="2"/>
  <c r="E14" i="2"/>
  <c r="F13" i="2"/>
  <c r="E13" i="2"/>
  <c r="F12" i="2"/>
  <c r="E12" i="2"/>
  <c r="F11" i="2"/>
  <c r="E11" i="2"/>
  <c r="F10" i="2"/>
  <c r="E10" i="2"/>
  <c r="E9" i="2"/>
  <c r="F8" i="2"/>
  <c r="E8" i="2"/>
  <c r="F7" i="2"/>
  <c r="E7" i="2"/>
  <c r="F6" i="2"/>
  <c r="E6" i="2"/>
  <c r="F5" i="2"/>
  <c r="E5" i="2"/>
  <c r="F4" i="2"/>
  <c r="E4" i="2"/>
  <c r="F3" i="2"/>
  <c r="E3" i="2"/>
  <c r="E2" i="2"/>
  <c r="D3" i="3" l="1"/>
  <c r="J2" i="3" s="1"/>
  <c r="K2" i="3" s="1"/>
  <c r="D35" i="3"/>
  <c r="J45" i="3" s="1"/>
  <c r="D4" i="3"/>
  <c r="J7" i="3" s="1"/>
  <c r="D10" i="3"/>
  <c r="D45" i="3"/>
  <c r="D27" i="3"/>
  <c r="D39" i="3"/>
  <c r="D23" i="3"/>
  <c r="D31" i="3"/>
  <c r="D49" i="3"/>
  <c r="D18" i="3"/>
  <c r="D17" i="3"/>
  <c r="D14" i="3"/>
  <c r="D53" i="3"/>
  <c r="D57" i="3"/>
  <c r="D30" i="3"/>
  <c r="E3" i="3" l="1"/>
  <c r="K7" i="3"/>
  <c r="K8" i="3"/>
  <c r="K13" i="3"/>
  <c r="K11" i="3"/>
  <c r="E4" i="3"/>
  <c r="K14" i="3"/>
  <c r="K10" i="3"/>
  <c r="E35" i="3"/>
  <c r="K9" i="3"/>
  <c r="J12" i="3"/>
  <c r="K12" i="3" s="1"/>
  <c r="E10" i="3"/>
  <c r="J34" i="3"/>
  <c r="E45" i="3"/>
  <c r="J26" i="3"/>
  <c r="E27" i="3"/>
  <c r="J40" i="3"/>
  <c r="E39" i="3"/>
  <c r="J23" i="3"/>
  <c r="E23" i="3"/>
  <c r="J31" i="3"/>
  <c r="E31" i="3"/>
  <c r="J37" i="3"/>
  <c r="E49" i="3"/>
  <c r="J19" i="3"/>
  <c r="E18" i="3"/>
  <c r="J3" i="3"/>
  <c r="E17" i="3"/>
  <c r="J15" i="3"/>
  <c r="K15" i="3" s="1"/>
  <c r="E14" i="3"/>
  <c r="J48" i="3"/>
  <c r="E53" i="3"/>
  <c r="J5" i="3"/>
  <c r="K5" i="3" s="1"/>
  <c r="E57" i="3"/>
  <c r="J4" i="3"/>
  <c r="E30" i="3"/>
  <c r="K48" i="3" l="1"/>
  <c r="K4" i="3"/>
  <c r="K32" i="3"/>
  <c r="K35" i="3"/>
  <c r="K41" i="3"/>
  <c r="K44" i="3"/>
  <c r="K47" i="3"/>
  <c r="K49" i="3"/>
  <c r="K39" i="3"/>
  <c r="K38" i="3"/>
  <c r="K46" i="3"/>
  <c r="K33" i="3"/>
  <c r="K50" i="3"/>
  <c r="K43" i="3"/>
  <c r="K36" i="3"/>
  <c r="K42" i="3"/>
  <c r="K3" i="3"/>
  <c r="K20" i="3"/>
  <c r="K22" i="3"/>
  <c r="K24" i="3"/>
  <c r="K25" i="3"/>
  <c r="K27" i="3"/>
  <c r="K21" i="3"/>
  <c r="K23" i="3"/>
  <c r="K19" i="3"/>
  <c r="K40" i="3"/>
  <c r="K37" i="3"/>
  <c r="K26" i="3"/>
  <c r="K45" i="3"/>
  <c r="K31" i="3"/>
  <c r="K34" i="3"/>
</calcChain>
</file>

<file path=xl/sharedStrings.xml><?xml version="1.0" encoding="utf-8"?>
<sst xmlns="http://schemas.openxmlformats.org/spreadsheetml/2006/main" count="4365" uniqueCount="1306">
  <si>
    <t>ResponseId</t>
  </si>
  <si>
    <t>Response</t>
  </si>
  <si>
    <t>R_5A0ewu3YjwrNabz</t>
  </si>
  <si>
    <t>Safty</t>
  </si>
  <si>
    <t>safety</t>
  </si>
  <si>
    <t>R_7mOSK0wrthusCAu</t>
  </si>
  <si>
    <t>Housing</t>
  </si>
  <si>
    <t>housing</t>
  </si>
  <si>
    <t>R_64fak4VghBVFjP3</t>
  </si>
  <si>
    <t>Flooding</t>
  </si>
  <si>
    <t>flooding</t>
  </si>
  <si>
    <t>R_3tDm3zEsgPxc7JU</t>
  </si>
  <si>
    <t>Clean air</t>
  </si>
  <si>
    <t>air quality</t>
  </si>
  <si>
    <t>R_5hFJ0BQNvGNSACR</t>
  </si>
  <si>
    <t>Rising rent</t>
  </si>
  <si>
    <t>rent</t>
  </si>
  <si>
    <t>R_6Jk1MgREYShQTxp</t>
  </si>
  <si>
    <t>Homelessness</t>
  </si>
  <si>
    <t>homelessness</t>
  </si>
  <si>
    <t>R_3rUGy48x7KOH453</t>
  </si>
  <si>
    <t>Mental health</t>
  </si>
  <si>
    <t>mental health</t>
  </si>
  <si>
    <t>R_7r814zaMjOI8Yil</t>
  </si>
  <si>
    <t>Pick up trash</t>
  </si>
  <si>
    <t>trash</t>
  </si>
  <si>
    <t>clean-up</t>
  </si>
  <si>
    <t>R_5Jn1DQDgLshPm3r</t>
  </si>
  <si>
    <t>Afford housing</t>
  </si>
  <si>
    <t>housing; affordability</t>
  </si>
  <si>
    <t>R_5jSVCublUZLV517</t>
  </si>
  <si>
    <t>leave no trace</t>
  </si>
  <si>
    <t>habitat degradation</t>
  </si>
  <si>
    <t>responsible use</t>
  </si>
  <si>
    <t>R_1C0Wf9Ruk3Yv3SY</t>
  </si>
  <si>
    <t>Build more parks</t>
  </si>
  <si>
    <t>park</t>
  </si>
  <si>
    <t>build parks</t>
  </si>
  <si>
    <t>R_3QKNoG3yhVxak7Q</t>
  </si>
  <si>
    <t>eliminate toxins</t>
  </si>
  <si>
    <t>toxins</t>
  </si>
  <si>
    <t>R_1MWB4zOOGTBiMri</t>
  </si>
  <si>
    <t>Mow clean streets</t>
  </si>
  <si>
    <t>trash; streets</t>
  </si>
  <si>
    <t>R_5PREsAyG6utdLUe</t>
  </si>
  <si>
    <t>Stormwater runoff</t>
  </si>
  <si>
    <t>stormwater runoff</t>
  </si>
  <si>
    <t>R_1sYI0HAxB3rfdQd</t>
  </si>
  <si>
    <t>Bird Saunctuaries</t>
  </si>
  <si>
    <t>birds</t>
  </si>
  <si>
    <t>wildlife santuary</t>
  </si>
  <si>
    <t>R_5fZ5yb6ypRI5mnK</t>
  </si>
  <si>
    <t>Energy consumption</t>
  </si>
  <si>
    <t>energy consumption</t>
  </si>
  <si>
    <t>R_6hG5lp8hSdUe50U</t>
  </si>
  <si>
    <t>Policial protection</t>
  </si>
  <si>
    <t>political protection</t>
  </si>
  <si>
    <t>R_6kWlmNr8fxkviut</t>
  </si>
  <si>
    <t>stop building roads</t>
  </si>
  <si>
    <t>streets; development</t>
  </si>
  <si>
    <t>limit development</t>
  </si>
  <si>
    <t>R_7I4zzuoblChqYrq</t>
  </si>
  <si>
    <t>important to protect</t>
  </si>
  <si>
    <t>R_3UapQqWMP30w6OU</t>
  </si>
  <si>
    <t>the recycling program</t>
  </si>
  <si>
    <t>recycling; program</t>
  </si>
  <si>
    <t>R_5D7GOKB5ek3VrqQ</t>
  </si>
  <si>
    <t>Bring people together</t>
  </si>
  <si>
    <t>bring people together</t>
  </si>
  <si>
    <t>R_1lPIn7GiFtRE0Jd</t>
  </si>
  <si>
    <t>Lealman Park clean up</t>
  </si>
  <si>
    <t>R_51YDtwm2RIwn2sS</t>
  </si>
  <si>
    <t>Cleaning up the trash</t>
  </si>
  <si>
    <t>R_30ZDcjMqE8nWv37</t>
  </si>
  <si>
    <t>Less litter everywhere</t>
  </si>
  <si>
    <t>R_30PCoyttQpvvp0x</t>
  </si>
  <si>
    <t>Cleaner drinking water</t>
  </si>
  <si>
    <t>drinking water quality</t>
  </si>
  <si>
    <t>R_78N9F3a5biAwUSB</t>
  </si>
  <si>
    <t>More beach protection.</t>
  </si>
  <si>
    <t>beach</t>
  </si>
  <si>
    <t>R_5DOyK43u0epJA5X</t>
  </si>
  <si>
    <t>Crime pollution poverty</t>
  </si>
  <si>
    <t>crime; poverty; pollution</t>
  </si>
  <si>
    <t>R_6k0ohglwRkMf3Mq</t>
  </si>
  <si>
    <t>Development has to stop</t>
  </si>
  <si>
    <t>development</t>
  </si>
  <si>
    <t>R_1HHpgiNsY7rKabu</t>
  </si>
  <si>
    <t>Helping protect wildlife</t>
  </si>
  <si>
    <t>wildlife</t>
  </si>
  <si>
    <t>R_5nBCvZcicH9EKf6</t>
  </si>
  <si>
    <t>Water pollution is huge!</t>
  </si>
  <si>
    <t>water pollution</t>
  </si>
  <si>
    <t>R_5JW8hO2AeAkePxh</t>
  </si>
  <si>
    <t>Protect the environment!</t>
  </si>
  <si>
    <t>R_6nPHPnuyRqHoVgg</t>
  </si>
  <si>
    <t>Cleaning the environment</t>
  </si>
  <si>
    <t>R_30cNCbhCi9HmOMl</t>
  </si>
  <si>
    <t>Keeping trash off beaches</t>
  </si>
  <si>
    <t>trash; beach</t>
  </si>
  <si>
    <t>R_7p6hJKbOdSjeHXz</t>
  </si>
  <si>
    <t>The air in what we breath</t>
  </si>
  <si>
    <t>R_6DbHkV8gf2oX4Jq</t>
  </si>
  <si>
    <t>Just make places cleaner.</t>
  </si>
  <si>
    <t>R_5w14vdY0PQ8uGUY</t>
  </si>
  <si>
    <t>Water supply
Redevelopment</t>
  </si>
  <si>
    <t>water supply; redevelopment</t>
  </si>
  <si>
    <t>R_1kNu6ipmpGBo3SR</t>
  </si>
  <si>
    <t>The homeless need shelter.</t>
  </si>
  <si>
    <t>homeless shelter</t>
  </si>
  <si>
    <t>R_62bePviV0kPbEfu</t>
  </si>
  <si>
    <t>Trash and also homenessless</t>
  </si>
  <si>
    <t>trash; homelessness</t>
  </si>
  <si>
    <t>R_7WYyLRWEuPAm9tb</t>
  </si>
  <si>
    <t>More rec centers and fields</t>
  </si>
  <si>
    <t>recreational centers; recreational fields</t>
  </si>
  <si>
    <t>R_12qMP8duMI2IiFr</t>
  </si>
  <si>
    <t>Crime rate needs to go down</t>
  </si>
  <si>
    <t>crime</t>
  </si>
  <si>
    <t>R_71sZni4lMAt0mJx</t>
  </si>
  <si>
    <t>Stop building on the beach.</t>
  </si>
  <si>
    <t>beach; development</t>
  </si>
  <si>
    <t>R_5Fyc2epoW60vZco</t>
  </si>
  <si>
    <t>more parks and walking paths</t>
  </si>
  <si>
    <t>park; recreational access</t>
  </si>
  <si>
    <t>build parks; walking paths</t>
  </si>
  <si>
    <t>R_31bLaPKukcaaCyV</t>
  </si>
  <si>
    <t>Clean the waters of our area</t>
  </si>
  <si>
    <t>R_3n0jJKMkPTKk4Nh</t>
  </si>
  <si>
    <t>Tampa should reduce littering</t>
  </si>
  <si>
    <t>R_3j7gAAcGGsa6NgY</t>
  </si>
  <si>
    <t>Safety of family's protection</t>
  </si>
  <si>
    <t>R_5aakQiAnWIsBT2X</t>
  </si>
  <si>
    <t>Schools to have more education</t>
  </si>
  <si>
    <t>education</t>
  </si>
  <si>
    <t>school reform</t>
  </si>
  <si>
    <t>R_5ve2me7EXPXS9X6</t>
  </si>
  <si>
    <t>Traffic and grid infrastructure</t>
  </si>
  <si>
    <t>traffic; grid infrastructure</t>
  </si>
  <si>
    <t>R_5yjFXFwWndiRZIc</t>
  </si>
  <si>
    <t>My part is cleaning up the beach</t>
  </si>
  <si>
    <t>R_3MLPvmFCdtylusV</t>
  </si>
  <si>
    <t>To have more beaches dog friendly</t>
  </si>
  <si>
    <t>beach; dog access</t>
  </si>
  <si>
    <t>policy</t>
  </si>
  <si>
    <t>R_61ajMCAfjAguxLD</t>
  </si>
  <si>
    <t>Cost of living, good paying jobs,</t>
  </si>
  <si>
    <t>cost of living; wages</t>
  </si>
  <si>
    <t>R_5S7dRsWzER84Wnq</t>
  </si>
  <si>
    <t>The water and marine life quality</t>
  </si>
  <si>
    <t>water quality; marine life</t>
  </si>
  <si>
    <t>R_7S63MG1hWJVRMrG</t>
  </si>
  <si>
    <t>Make the prices not go up so much</t>
  </si>
  <si>
    <t>cost of living</t>
  </si>
  <si>
    <t>R_5r2GbEO6X4NYWN2</t>
  </si>
  <si>
    <t>More parks with attached education</t>
  </si>
  <si>
    <t>park; education</t>
  </si>
  <si>
    <t>build parks; education</t>
  </si>
  <si>
    <t>R_6z8DMgQApw0kqTT</t>
  </si>
  <si>
    <t>Keeping our beaches clean as well.</t>
  </si>
  <si>
    <t>R_6osWkVQBmgdgPI8</t>
  </si>
  <si>
    <t>Stop so much building in our area.</t>
  </si>
  <si>
    <t>R_1Vf1dxZ2waC2wii</t>
  </si>
  <si>
    <t>clean the creeks around the bay arear</t>
  </si>
  <si>
    <t>creek; trash</t>
  </si>
  <si>
    <t>R_1mVF1wTKRY2CZJO</t>
  </si>
  <si>
    <t>Pollution and taking care of beaches.</t>
  </si>
  <si>
    <t>beach; pollution</t>
  </si>
  <si>
    <t>R_60NHOstuVDcWf8l</t>
  </si>
  <si>
    <t>I think more affordable youth centers</t>
  </si>
  <si>
    <t>affordability</t>
  </si>
  <si>
    <t>youth centers</t>
  </si>
  <si>
    <t>R_38JVJn9gZRsOp9L</t>
  </si>
  <si>
    <t>Water quality in the bay and pollution</t>
  </si>
  <si>
    <t>water quality; pollution</t>
  </si>
  <si>
    <t>R_7IEWEaKfFoZQWjv</t>
  </si>
  <si>
    <t>The amount of homelessness and poverty</t>
  </si>
  <si>
    <t>homelessness; poverty</t>
  </si>
  <si>
    <t>R_62HUSuObrdnQwnf</t>
  </si>
  <si>
    <t>Assessment and cleaning up Rocky Creek</t>
  </si>
  <si>
    <t>trash; creek</t>
  </si>
  <si>
    <t>clean-up; assessment</t>
  </si>
  <si>
    <t>R_6ekwdir1vIZPcD1</t>
  </si>
  <si>
    <t>More green space for walking or hiking.</t>
  </si>
  <si>
    <t>green space; recreational access</t>
  </si>
  <si>
    <t>build green space</t>
  </si>
  <si>
    <t>R_1vkKzVcHLfoGV3H</t>
  </si>
  <si>
    <t>I hope the funds are allocated properly</t>
  </si>
  <si>
    <t>funding allocation</t>
  </si>
  <si>
    <t>R_6EbLsazwOdrtooS</t>
  </si>
  <si>
    <t>I liked how the image of my city improved</t>
  </si>
  <si>
    <t>R_3psS46XkXhk1avF</t>
  </si>
  <si>
    <t>Improve the roads, make school zones 24/7</t>
  </si>
  <si>
    <t>streets; school zones</t>
  </si>
  <si>
    <t>R_62tNdORBiYTMvug</t>
  </si>
  <si>
    <t>Economic rises, more people being homeless</t>
  </si>
  <si>
    <t>cost of living; homelessness</t>
  </si>
  <si>
    <t>R_35Hi86L92JGJnhS</t>
  </si>
  <si>
    <t>Definitely need to improve cost of housing</t>
  </si>
  <si>
    <t>housing costs</t>
  </si>
  <si>
    <t>R_6aWhuTPDN1P7ba8</t>
  </si>
  <si>
    <t>Effects of using chemicals such as round up</t>
  </si>
  <si>
    <t>chemicals; round-up</t>
  </si>
  <si>
    <t>R_5yQdmVE2mGKZX1L</t>
  </si>
  <si>
    <t>Air quality and expansion of electric cars.</t>
  </si>
  <si>
    <t>electric cars</t>
  </si>
  <si>
    <t>R_3NadrN8a5nhVsv1</t>
  </si>
  <si>
    <t>Safety for Visitors and animals of all sorts</t>
  </si>
  <si>
    <t>human safety; animal safety</t>
  </si>
  <si>
    <t>R_3C15Z8J5p8y6tzK</t>
  </si>
  <si>
    <t>Birds and manatees are why I go to the water</t>
  </si>
  <si>
    <t>birds; manatees</t>
  </si>
  <si>
    <t>R_7fLOExHaPLxAFBD</t>
  </si>
  <si>
    <t>Increased protection of the shallow habitats</t>
  </si>
  <si>
    <t>shallow habitats</t>
  </si>
  <si>
    <t>R_6YMrlwUAnBnkRvD</t>
  </si>
  <si>
    <t>STOP the massive overdevelopment of Florida!!</t>
  </si>
  <si>
    <t>overdevelopment</t>
  </si>
  <si>
    <t>R_7y9lRqownmgkEFg</t>
  </si>
  <si>
    <t>KEEP OUR BEACHES CLEAN MORE FINES FOR LITTERING</t>
  </si>
  <si>
    <t>beach; trash</t>
  </si>
  <si>
    <t>fines</t>
  </si>
  <si>
    <t>R_7NjYSx61pLQPoxw</t>
  </si>
  <si>
    <t>We need more people to go out and help wildlife</t>
  </si>
  <si>
    <t>civic engagement</t>
  </si>
  <si>
    <t>R_5lsMRvUjhjL1zUJ</t>
  </si>
  <si>
    <t>Nature just in general should be tension getting</t>
  </si>
  <si>
    <t>R_1MRntJGPthxp0YP</t>
  </si>
  <si>
    <t>I don't like the fact we have to pay for parking</t>
  </si>
  <si>
    <t>parking costs</t>
  </si>
  <si>
    <t>R_7agC2TUpgdmjIlZ</t>
  </si>
  <si>
    <t>I think walking accessibility could be worked on</t>
  </si>
  <si>
    <t>walking accessibility</t>
  </si>
  <si>
    <t>R_11YkmIdRLEKNRHU</t>
  </si>
  <si>
    <t>The conservation of water is most important to me</t>
  </si>
  <si>
    <t>water conservation</t>
  </si>
  <si>
    <t>R_3aS6AG6TT6LViKA</t>
  </si>
  <si>
    <t>Protect the wildlife that lives in these habitats</t>
  </si>
  <si>
    <t>R_7f9MygBzT6dZaGF</t>
  </si>
  <si>
    <t>Trash , the killing , bullying , the mess and ect</t>
  </si>
  <si>
    <t>R_1DST0eCdzmmhlbX</t>
  </si>
  <si>
    <t>Install water softener at all homes in Tampa Bay.</t>
  </si>
  <si>
    <t>water softener installation</t>
  </si>
  <si>
    <t>R_5dPUMpTYcPsy80P</t>
  </si>
  <si>
    <t>Storm related concerns and habitat in lake areas.</t>
  </si>
  <si>
    <t>storms; lake habitat</t>
  </si>
  <si>
    <t>R_3EbuSSARncvO7ZJ</t>
  </si>
  <si>
    <t>I think people need to help out with all charities</t>
  </si>
  <si>
    <t>charities</t>
  </si>
  <si>
    <t>R_1OJVyNm6UKIZ3YE</t>
  </si>
  <si>
    <t>I like the state of Florida but Tampa are the best</t>
  </si>
  <si>
    <t>R_3Pk7WqDtKXLHA3g</t>
  </si>
  <si>
    <t>Tampa has really changed it doesn't look the same.</t>
  </si>
  <si>
    <t>R_1gwhH9n8lDOBBB3</t>
  </si>
  <si>
    <t>We need to protect our waters here in Tampa General</t>
  </si>
  <si>
    <t>water</t>
  </si>
  <si>
    <t>R_6IJXw5OaUCJmMCK</t>
  </si>
  <si>
    <t>More advertising for volunteers for clean up events</t>
  </si>
  <si>
    <t>trash; civic engagement</t>
  </si>
  <si>
    <t>advertising</t>
  </si>
  <si>
    <t>R_31yNBoCuFEmEJJJ</t>
  </si>
  <si>
    <t>Make more parks and activities for small communties</t>
  </si>
  <si>
    <t>build parks; recreational activities</t>
  </si>
  <si>
    <t>R_7IzuAAviGuj0AsO</t>
  </si>
  <si>
    <t>Free public recreation locations for general public</t>
  </si>
  <si>
    <t>recreational access</t>
  </si>
  <si>
    <t>reduce costs</t>
  </si>
  <si>
    <t>R_6I7e1UJolCLxlo5</t>
  </si>
  <si>
    <t>Keeping natural areas. Less development by builders.</t>
  </si>
  <si>
    <t>natural areas; development</t>
  </si>
  <si>
    <t>R_84</t>
  </si>
  <si>
    <t>Make drinking water in homes much purer, safer, etc.</t>
  </si>
  <si>
    <t>R_6qKIneZlNzvyzfR</t>
  </si>
  <si>
    <t>Water quality  along with invasive non native fishes</t>
  </si>
  <si>
    <t>water quality; invasive species; non-native species; fish</t>
  </si>
  <si>
    <t>R_6joYsHNSacuuJtX</t>
  </si>
  <si>
    <t>STOP ALL RAW SEWAGE DUMPS INTO ANY BAY AREA WATERS!!!</t>
  </si>
  <si>
    <t>sewage; water quality</t>
  </si>
  <si>
    <t>R_3hT1g6Kw6XH9viN</t>
  </si>
  <si>
    <t>I would like to hear more about various volunteering.</t>
  </si>
  <si>
    <t>volunteering</t>
  </si>
  <si>
    <t>more communication</t>
  </si>
  <si>
    <t>R_7YqNT3KFiY93QAh</t>
  </si>
  <si>
    <t>They should work on the pollution in the air and water</t>
  </si>
  <si>
    <t>air pollution; water pollution</t>
  </si>
  <si>
    <t>R_5IZgX9yJ7CWWfP7</t>
  </si>
  <si>
    <t>Housing inflation cost to much pollution in air control</t>
  </si>
  <si>
    <t>housing costs; air pollution</t>
  </si>
  <si>
    <t>R_5sz5UaV66xocqqB</t>
  </si>
  <si>
    <t>Learning how to deal with long range drought conditions</t>
  </si>
  <si>
    <t>drought</t>
  </si>
  <si>
    <t>R_5eqvvlM5gA9tvcQ</t>
  </si>
  <si>
    <t>Problem of disappearing wetlands due to new construction</t>
  </si>
  <si>
    <t>wetland loss; development</t>
  </si>
  <si>
    <t>R_7kgpjORFP9OIWZ3</t>
  </si>
  <si>
    <t>Clean water in the bay and safe environment for wildlife</t>
  </si>
  <si>
    <t>water quality; wildlife safety</t>
  </si>
  <si>
    <t>R_7GBLAZOWVtqMxGx</t>
  </si>
  <si>
    <t>Strengthen efforts to maintain and improve water quality</t>
  </si>
  <si>
    <t>water quality</t>
  </si>
  <si>
    <t>R_7widkkb11PV8SEV</t>
  </si>
  <si>
    <t>Pest control and termite control and squirrel relocation</t>
  </si>
  <si>
    <t>pests; termites; squirrels</t>
  </si>
  <si>
    <t>pest control; wildlife relocation</t>
  </si>
  <si>
    <t>R_11T6m4FQRVLhaab</t>
  </si>
  <si>
    <t>Red tie should be targeted at the riverwalk in Tampa Bay.</t>
  </si>
  <si>
    <t>red tide; river</t>
  </si>
  <si>
    <t>R_6So9bl6E1sLGM0o</t>
  </si>
  <si>
    <t>The hillsborough river desparatrly needs to be cleaned up</t>
  </si>
  <si>
    <t>trash; river</t>
  </si>
  <si>
    <t>R_5YgDGUppFD7j3Pq</t>
  </si>
  <si>
    <t>Acquire lands adjacent to existing conservation property.</t>
  </si>
  <si>
    <t>habitat connectivity</t>
  </si>
  <si>
    <t>land acquisition</t>
  </si>
  <si>
    <t>R_6ig2vaodu8Q63D3</t>
  </si>
  <si>
    <t>The poor animals need a relief area, somewhere to get away</t>
  </si>
  <si>
    <t>wildlife refuge areas</t>
  </si>
  <si>
    <t>R_5dKZnNjc1n1AhEc</t>
  </si>
  <si>
    <t>The big problem in this area is traffic and over building.</t>
  </si>
  <si>
    <t>traffic; overdevelopment</t>
  </si>
  <si>
    <t>R_6PFcwTfk12cdyrD</t>
  </si>
  <si>
    <t>I enjoyed my time in Tampa bay especially the nature walks</t>
  </si>
  <si>
    <t>R_3GZEHWl901Yu8Yl</t>
  </si>
  <si>
    <t>Just keep our water clean and free from junk for ourwildlife</t>
  </si>
  <si>
    <t>water pollution; trash; wildlife</t>
  </si>
  <si>
    <t>R_50vf3MxoPotG4Br</t>
  </si>
  <si>
    <t>Protecting the ecosystem and keeping the fish life protected.</t>
  </si>
  <si>
    <t>fish</t>
  </si>
  <si>
    <t>R_3oYZlGZRIjrQ4D1</t>
  </si>
  <si>
    <t>Cities should Manage drainage ditches. This is not being done</t>
  </si>
  <si>
    <t>drainage ditches</t>
  </si>
  <si>
    <t>city management</t>
  </si>
  <si>
    <t>R_7hgM7ZcypsNWAsG</t>
  </si>
  <si>
    <t>The red tide has been around, but it looks like it has slowed</t>
  </si>
  <si>
    <t>red tide</t>
  </si>
  <si>
    <t>R_3h41biRr2ZaF7a0</t>
  </si>
  <si>
    <t>The clean water is one of the most important thing to look for</t>
  </si>
  <si>
    <t>R_6BN328SZ8t83q7L</t>
  </si>
  <si>
    <t>Continue to develop opportunities for safe recreation outdoors.</t>
  </si>
  <si>
    <t>recreational access; safety</t>
  </si>
  <si>
    <t>recreational opportunities</t>
  </si>
  <si>
    <t>R_1sNfrrhSLxASrgl</t>
  </si>
  <si>
    <t>Yes some recommendations would be recycling and adding trascand</t>
  </si>
  <si>
    <t>recycling</t>
  </si>
  <si>
    <t>R_31N71wxQiUruHQn</t>
  </si>
  <si>
    <t>We need more jobs in my community as well as reasonable housing.</t>
  </si>
  <si>
    <t>job availability; housing</t>
  </si>
  <si>
    <t>R_3aQS66AIfO2WLjq</t>
  </si>
  <si>
    <t>Public access point to bodies of water, to many private entities.</t>
  </si>
  <si>
    <t>public access points</t>
  </si>
  <si>
    <t>R_3dXegTssyS0QeL2</t>
  </si>
  <si>
    <t>Clean water for drinking, bathing, swimming for humans and animals</t>
  </si>
  <si>
    <t>water quality; drinking water; recreational waters</t>
  </si>
  <si>
    <t>R_71cGf4yCP7jxQGi</t>
  </si>
  <si>
    <t>Get politics out of health and safety for citizens and environment</t>
  </si>
  <si>
    <t>political influence</t>
  </si>
  <si>
    <t>R_25</t>
  </si>
  <si>
    <t>Concerned about over development and the effect on the environment</t>
  </si>
  <si>
    <t>R_5l00XimNjBTABx8</t>
  </si>
  <si>
    <t>Cleaning the water, environment and just overall protecting nature</t>
  </si>
  <si>
    <t>trash; water quality</t>
  </si>
  <si>
    <t>R_7Qrf5PYb85psAGd</t>
  </si>
  <si>
    <t>Help the community get more involved make it exciting for all ages</t>
  </si>
  <si>
    <t>civic engagement; public enthusiasm</t>
  </si>
  <si>
    <t>community involvement; youth involvement</t>
  </si>
  <si>
    <t>R_5nZtMaEn3nMhEtJ</t>
  </si>
  <si>
    <t>Drastically cutting down the pulltion in the air and on the ground.</t>
  </si>
  <si>
    <t>trash; air pollution</t>
  </si>
  <si>
    <t>R_7wwsukT5vuaNKpP</t>
  </si>
  <si>
    <t>Stop destroying natural habitats and replacing them with buildings.</t>
  </si>
  <si>
    <t>habitat degradation; habitat loss</t>
  </si>
  <si>
    <t>R_7DI8ElitkDabbHB</t>
  </si>
  <si>
    <t>Controlling pollution. Controlling red tide, especially in my area.</t>
  </si>
  <si>
    <t>red tide; pollution</t>
  </si>
  <si>
    <t>R_3rv6qEHurp123JG</t>
  </si>
  <si>
    <t>keeping pollutants out of the waters for increased fish and wildlife</t>
  </si>
  <si>
    <t>water pollution; fish; wildlife</t>
  </si>
  <si>
    <t>R_12VJZ8UIb3kN6ye</t>
  </si>
  <si>
    <t>Water quality and storm protection are high in the list for Tampa bay</t>
  </si>
  <si>
    <t>water quality; storm protection</t>
  </si>
  <si>
    <t>R_61sZyBXjHx7HiR3</t>
  </si>
  <si>
    <t>I'm concerned about plastics and runoff getting into the water table.</t>
  </si>
  <si>
    <t>plastic; runoff; water table</t>
  </si>
  <si>
    <t>R_5mR9nUycvWLqDQh</t>
  </si>
  <si>
    <t>keeping the beach sand clean and making sure the public do not litter</t>
  </si>
  <si>
    <t>R_6Thn7iW2utNTMLT</t>
  </si>
  <si>
    <t>PFAS, forever chemicals. Oversight for companies and their waste SOPs.</t>
  </si>
  <si>
    <t>PFAS; chemicals</t>
  </si>
  <si>
    <t>oversight for companies' SOPs</t>
  </si>
  <si>
    <t>R_14MTNqm3lMeXIJP</t>
  </si>
  <si>
    <t>Increase fines for litering along beaches, parks, wildlife trails etc!</t>
  </si>
  <si>
    <t>trash; beach; park; wildlife trails</t>
  </si>
  <si>
    <t>R_3N9VIlS363uGY4U</t>
  </si>
  <si>
    <t>just the cleanliness of the water overall and making the waterways safe</t>
  </si>
  <si>
    <t>water quality; safety</t>
  </si>
  <si>
    <t>R_669EXYBGaIi1dF6</t>
  </si>
  <si>
    <t>The manatees need a place to go like a farm or something to remain safe</t>
  </si>
  <si>
    <t>manatees</t>
  </si>
  <si>
    <t>wildlife farm</t>
  </si>
  <si>
    <t>R_3gRgI3tpC04Jw53</t>
  </si>
  <si>
    <t>Less boats in our water ways, cages should be put around all propellers</t>
  </si>
  <si>
    <t>boat abundance; propeller safety</t>
  </si>
  <si>
    <t>cages around propellers</t>
  </si>
  <si>
    <t>R_3R51HUHznsMg000</t>
  </si>
  <si>
    <t>Need to reduce environmental pollution and think about waste management</t>
  </si>
  <si>
    <t>pollution</t>
  </si>
  <si>
    <t>waste management</t>
  </si>
  <si>
    <t>R_6904tm7ZUijaaDa</t>
  </si>
  <si>
    <t>The shoreline was impacted by last year's storms but have been restored.</t>
  </si>
  <si>
    <t>storms; shoreline degradation</t>
  </si>
  <si>
    <t>shoreline restoration</t>
  </si>
  <si>
    <t>R_3oosLdmngguR2Nd</t>
  </si>
  <si>
    <t>support the birds and wildlife that depend on the estuaries and waterways</t>
  </si>
  <si>
    <t>birds; wildlife</t>
  </si>
  <si>
    <t>R_6eVlioO0pZUDYDU</t>
  </si>
  <si>
    <t>More for the wildlife and protecting the wetlands that make Florida great</t>
  </si>
  <si>
    <t>wildlife; wetlands</t>
  </si>
  <si>
    <t>R_1meH3KaiiyZ1SZm</t>
  </si>
  <si>
    <t>Animal conservation and young and adult teaching about the Animal habitat.</t>
  </si>
  <si>
    <t>animal conservation</t>
  </si>
  <si>
    <t>education; youth education</t>
  </si>
  <si>
    <t>R_5t9AS8AVGqpWdSc</t>
  </si>
  <si>
    <t>Protect mangroves, reduce runoff, restore habitats, improve water quality.</t>
  </si>
  <si>
    <t>mangroves; runoff; water quality; habitat loss</t>
  </si>
  <si>
    <t>habitat restoration</t>
  </si>
  <si>
    <t>R_3ARyYRuVxEpX0TH</t>
  </si>
  <si>
    <t>Well I think topics like empowerment should be prioritize in the community</t>
  </si>
  <si>
    <t>empowerment</t>
  </si>
  <si>
    <t>R_5rqV9SbqwI7dzTs</t>
  </si>
  <si>
    <t>Climate change has been shown to be insignificant concern in today's world.</t>
  </si>
  <si>
    <t>climate change</t>
  </si>
  <si>
    <t>R_5qvnoRza9lnfDP3</t>
  </si>
  <si>
    <t>prioritize prevention against radical leftist impeding deportation officers</t>
  </si>
  <si>
    <t>R_3HBysLrzqz6OuK2</t>
  </si>
  <si>
    <t>Cleaning around bus stops to many over ran garbbages, help the homeless more</t>
  </si>
  <si>
    <t>trash; streets; homelessness</t>
  </si>
  <si>
    <t>R_6hhJYteis6yjRxh</t>
  </si>
  <si>
    <t>I think we need to focus on more wildlife as their homes are being destroyed.</t>
  </si>
  <si>
    <t>wildlife; habitat degradation</t>
  </si>
  <si>
    <t>R_7r73aE25aylfza1</t>
  </si>
  <si>
    <t>I think many natural bodies of water should not allow tourist to protect them.</t>
  </si>
  <si>
    <t>limit tourists</t>
  </si>
  <si>
    <t>R_3DNG0wvOjyQUZdd</t>
  </si>
  <si>
    <t>We should have more urban gardens and places for eco-minded youth to socialize.</t>
  </si>
  <si>
    <t>build urban gardens; places for socializing; youth spaces</t>
  </si>
  <si>
    <t>R_7doQ9kr8mnvObYo</t>
  </si>
  <si>
    <t>Making sure the water stays clean and our community stays safe for the wildlife</t>
  </si>
  <si>
    <t>R_1FPVcf9sG1PYbow</t>
  </si>
  <si>
    <t>Definitely how to save our wildlife, water, nature and just the earth around us.</t>
  </si>
  <si>
    <t>wildlife; water</t>
  </si>
  <si>
    <t>R_7Gcr1QuKVkqxCrn</t>
  </si>
  <si>
    <t>Keeping fishing waste and other waste out of the waterways that harm the animals</t>
  </si>
  <si>
    <t>trash; fishing waste; water pollution; widlife safety</t>
  </si>
  <si>
    <t>R_1P5FrqG3Yy9uh8b</t>
  </si>
  <si>
    <t>Drinking water availability being maintained and purified properly with flouride</t>
  </si>
  <si>
    <t>drinking water quality; drinking water availability</t>
  </si>
  <si>
    <t>fluoride treatment</t>
  </si>
  <si>
    <t>R_7zbxJlq15HiP0Fb</t>
  </si>
  <si>
    <t>It should be illegal to prune your mangroves. Provide incentive to plant native.</t>
  </si>
  <si>
    <t>mangroves; native plantings</t>
  </si>
  <si>
    <t>regulations; incentives</t>
  </si>
  <si>
    <t>R_19yRm6xvntaU6ZP</t>
  </si>
  <si>
    <t>I think Tampa has completely screwed themselves by electing corporate socialists.</t>
  </si>
  <si>
    <t>R_54flOVUQrLRV0Wt</t>
  </si>
  <si>
    <t>We all need to get together as a whole to make Tampa bay better and help wildlife</t>
  </si>
  <si>
    <t>R_1EHUlWPu3UGE7KN</t>
  </si>
  <si>
    <t>Clearing out garbage from bodies of water and making sure wildlife stays protected</t>
  </si>
  <si>
    <t>trash; water pollution; wildlife</t>
  </si>
  <si>
    <t>R_3BsAcOIo4XOwDBf</t>
  </si>
  <si>
    <t>I am proud of the work being done and hope it continues to improve our environment.</t>
  </si>
  <si>
    <t>R_1Y8PcIkthRG4Nok</t>
  </si>
  <si>
    <t>Fix the problem with the sewage spillage in certain cities in the Tampa Bay region.</t>
  </si>
  <si>
    <t>sewage spillage</t>
  </si>
  <si>
    <t>R_3wFAqsXqIlaHg3G</t>
  </si>
  <si>
    <t>I think we should fix the nature around us so we can make the earth more inhabitable</t>
  </si>
  <si>
    <t>R_3v9exHL7WfQbd5g</t>
  </si>
  <si>
    <t>Beach clean up for wildlife and tourism so that it can affect the community pisitively</t>
  </si>
  <si>
    <t>beach; trash; wildlife; tourism</t>
  </si>
  <si>
    <t>R_725dGHQ8LOiwaJ5</t>
  </si>
  <si>
    <t>Focusing more on zero scaping and lower water landscaping throughout the Tampa region.</t>
  </si>
  <si>
    <t>xeroscaping; residential water use</t>
  </si>
  <si>
    <t>R_77BRMndOYd6XR8E</t>
  </si>
  <si>
    <t>Preventing beach erosion, preserving green areas which can act to lessen flood severity</t>
  </si>
  <si>
    <t>beach; erosion; flooding</t>
  </si>
  <si>
    <t>green space preservation</t>
  </si>
  <si>
    <t>R_5mDCmTV8hE0foyC</t>
  </si>
  <si>
    <t>I think people should take fishing seriously because hooks and lines are left everywhere</t>
  </si>
  <si>
    <t>trash; fishing waste</t>
  </si>
  <si>
    <t>R_14</t>
  </si>
  <si>
    <t>Lower water costs. Improved pollution filtration. Switch to low maintenance yards/lawns.</t>
  </si>
  <si>
    <t>water costs; water pollution</t>
  </si>
  <si>
    <t>pollution filtration; low maintenance yards</t>
  </si>
  <si>
    <t>R_60vmNdAaY77JPQ5</t>
  </si>
  <si>
    <t>The cleaning of bay contributory  as a whole there is a lot of trash and debris in these</t>
  </si>
  <si>
    <t>trash; debris; bay</t>
  </si>
  <si>
    <t>R_5AJpShLkOjGfSCZ</t>
  </si>
  <si>
    <t>Hurricane preparedness 
Water conservation, especially as related to landscape irrigation</t>
  </si>
  <si>
    <t>hurricane preparedness; water use; landscape irrigation</t>
  </si>
  <si>
    <t>water use</t>
  </si>
  <si>
    <t>R_5pu2TSNhjlk7bFa</t>
  </si>
  <si>
    <t>Trees....with the loss of trees in hurricanes, promote tree planting. Also bees and birds.</t>
  </si>
  <si>
    <t>habitat loss; birds; bees; hurricanes</t>
  </si>
  <si>
    <t>tree planting</t>
  </si>
  <si>
    <t>R_3p6eCz6NHLEBa19</t>
  </si>
  <si>
    <t>The sewer dreams make sure that no one puts any poisonous soaps or anything in Dove drains</t>
  </si>
  <si>
    <t>household chemicals; sewer drains</t>
  </si>
  <si>
    <t>R_62PZxkGrTzmPgPa</t>
  </si>
  <si>
    <t>Identify means to reduce the impacts from the mining of phosphate within the TB watershed!</t>
  </si>
  <si>
    <t>phosphate mining</t>
  </si>
  <si>
    <t>R_1tmmQSJWgehEqa1</t>
  </si>
  <si>
    <t>They need to find away to be able to conserve on electricity by giving cheap solar to homes</t>
  </si>
  <si>
    <t>energy use</t>
  </si>
  <si>
    <t>affordable solar power</t>
  </si>
  <si>
    <t>R_7gFoYJKYFeDGVWY</t>
  </si>
  <si>
    <t>Recycling bins and more outreach go encourage more recycling. What to recycle, howband why.</t>
  </si>
  <si>
    <t>recycling bins; outreach; education</t>
  </si>
  <si>
    <t>R_3YUh9bKF22BqxQR</t>
  </si>
  <si>
    <t>I think more bird attracting things should be used in parks and more manatee lookout points</t>
  </si>
  <si>
    <t>bird attraction designs; manatee lookout points</t>
  </si>
  <si>
    <t>R_71W5ddwtuOoKoP7</t>
  </si>
  <si>
    <t>Restrict fertilizer use nor water and stop street runoff to bay waters from beach comunities</t>
  </si>
  <si>
    <t>fertilizer; runoff; street; beach; bay</t>
  </si>
  <si>
    <t>fertilizer restrictions</t>
  </si>
  <si>
    <t>R_1hABqhzbAab3zel</t>
  </si>
  <si>
    <t>I feel like Tampa definitely needs to make a higher effort in protecting the local wildlife.</t>
  </si>
  <si>
    <t>R_7ya8dK5ZtyMecy6</t>
  </si>
  <si>
    <t>I just think that we should be more informed. Several of these things I've had no idea about.</t>
  </si>
  <si>
    <t>awareness</t>
  </si>
  <si>
    <t>R_32FBaBYT0pPybdr</t>
  </si>
  <si>
    <t>We do not live near the Bay, however, I am in complete agreement with actions to keep it alive.</t>
  </si>
  <si>
    <t>R_5wXunuFuu3A9VDz</t>
  </si>
  <si>
    <t>n the next 10 years, the priority is to work on kmproving the quality of water for consumption.</t>
  </si>
  <si>
    <t>drinking water; water quality</t>
  </si>
  <si>
    <t>R_3hHgliqaG7h5yzO</t>
  </si>
  <si>
    <t>Checking water quality on a continuing basis is good for wildlife and the humans that live here.</t>
  </si>
  <si>
    <t>water quality; wildlife safety; human safety</t>
  </si>
  <si>
    <t>monitoring</t>
  </si>
  <si>
    <t>R_3NghOKyrlco7Z99</t>
  </si>
  <si>
    <t>I am concern about Tampa Bays homeless population on how to alleviate the problem of homelessness.</t>
  </si>
  <si>
    <t>R_3mpU9Flois6plJ2</t>
  </si>
  <si>
    <t>I think we should keep the level of population on our beaches low in terms of housing developments</t>
  </si>
  <si>
    <t>housing development; beaches</t>
  </si>
  <si>
    <t>R_6t4FN5FGSfQ0iqD</t>
  </si>
  <si>
    <t>To teach the next generation how to help keep the water ways clean and take care of the water ways.</t>
  </si>
  <si>
    <t>youth education</t>
  </si>
  <si>
    <t>R_6knsyn0YnmmEGd7</t>
  </si>
  <si>
    <t>They need to stop doing all the building they're doing is taking away all the wildlife that we have</t>
  </si>
  <si>
    <t>development; wildlife loss</t>
  </si>
  <si>
    <t>R_7YbBBAG6abkbTvH</t>
  </si>
  <si>
    <t>I believe people need to become responsible for the environment --- take care of it, not destroy it.</t>
  </si>
  <si>
    <t>lack of stewardship/responsibility</t>
  </si>
  <si>
    <t>R_1nHkilTSSJAYwO9</t>
  </si>
  <si>
    <t>Generally, promotion of more awareness of our actions and how they impact our climate and community.</t>
  </si>
  <si>
    <t>awareness; climate</t>
  </si>
  <si>
    <t>outreach; education</t>
  </si>
  <si>
    <t>R_3vlb6IOlx3F565t</t>
  </si>
  <si>
    <t>Failing infrastructure and IQ water are known pollutant sources. Better control of these is possible.</t>
  </si>
  <si>
    <t>failing infrastructure; water pollution</t>
  </si>
  <si>
    <t>R_3dLdu4GzGnuUVdv</t>
  </si>
  <si>
    <t>I would like to have safer areas to take my family. These areas should be monitored by LAW ENFORCEMENT</t>
  </si>
  <si>
    <t>human safety; safe areas</t>
  </si>
  <si>
    <t>law enforcement</t>
  </si>
  <si>
    <t>R_6M6Bzlmvs006GLT</t>
  </si>
  <si>
    <t>Offer challenges that encourage individuals to pick up and dispose properly of litter on a daily basis</t>
  </si>
  <si>
    <t>community engagement; clean-up</t>
  </si>
  <si>
    <t>R_1HpXAe6OxVbEaGX</t>
  </si>
  <si>
    <t>prioritize letting ice law enforcement handle their work without impeding from the radical hateful left</t>
  </si>
  <si>
    <t>R_30V98YsAurDKlsJ</t>
  </si>
  <si>
    <t>Issues would be related to preparedness that is related to weather conditions such as hurricane seasons.</t>
  </si>
  <si>
    <t>hurricane preparedness</t>
  </si>
  <si>
    <t>R_75agzUuFm4lWodb</t>
  </si>
  <si>
    <t>Over the next 10 years I'm pretty sure that our environment will get a little bit worse than not that bad</t>
  </si>
  <si>
    <t>R_7uO65Ded60cXIyW</t>
  </si>
  <si>
    <t>The pollution of visitors on the side of the roads really needs attention it does impact nature as a whole</t>
  </si>
  <si>
    <t>trash; roads; tourists</t>
  </si>
  <si>
    <t>R_6WYzXrPQufOKSVw</t>
  </si>
  <si>
    <t>All things conservation and wildlife protection should be the biggest priority, especially being in Florida.</t>
  </si>
  <si>
    <t>R_6FPb9IpFeFQVwY1</t>
  </si>
  <si>
    <t>Keeping air quality clean by ensuring that the sewage pipes are cleaned out to cut back on toxins in the air.</t>
  </si>
  <si>
    <t>air quality; toxins</t>
  </si>
  <si>
    <t>sewage pipe cleaning</t>
  </si>
  <si>
    <t>R_3389dodGuCQVeOM</t>
  </si>
  <si>
    <t>For the next 10 years the community should focus on adding more jobs for employment and more reasonable housing</t>
  </si>
  <si>
    <t>affordable housing; job growth</t>
  </si>
  <si>
    <t>R_7a2xmsxVdxuhbe9</t>
  </si>
  <si>
    <t>Further increase coordination with local and state governments that are responsible for infrastructure projects.</t>
  </si>
  <si>
    <t>infrastructure</t>
  </si>
  <si>
    <t>cross-governmental coordination</t>
  </si>
  <si>
    <t>R_3qrFLKqV82lc7pT</t>
  </si>
  <si>
    <t>Honestly in Florida immigration not just from outside the country but from the other states as well needs revision</t>
  </si>
  <si>
    <t>immigration</t>
  </si>
  <si>
    <t>R_56</t>
  </si>
  <si>
    <t>Save space (wilderness/habitat) for all wildlife. Too much development without consideration of wildlife habitats.</t>
  </si>
  <si>
    <t>wildlife; development; habitat</t>
  </si>
  <si>
    <t>habitat preservation</t>
  </si>
  <si>
    <t>R_1R2KbeesrBzHgqv</t>
  </si>
  <si>
    <t>Sierra club offering more volunteer groups as well as high schoolers volunteering for extra credit in science course</t>
  </si>
  <si>
    <t>volunteer groups; youth involvement</t>
  </si>
  <si>
    <t>R_6qfAQm04fAzeAZr</t>
  </si>
  <si>
    <t>I think finding ways to involve the public will open their eyes to some of the issues they don't currently recognize</t>
  </si>
  <si>
    <t>public involvement</t>
  </si>
  <si>
    <t>R_5OVI7A2tSKe9t8R</t>
  </si>
  <si>
    <t>I propose checking in on how the effects of rising invasive reptile population contributes to a lack of biodiversity!</t>
  </si>
  <si>
    <t>invasive species; reptiles; biodiversity loss</t>
  </si>
  <si>
    <t>research</t>
  </si>
  <si>
    <t>R_7OCESSvNtdrtXco</t>
  </si>
  <si>
    <t>In the next 10 years tbep should work along side the communities to stop contamination of our parks and wild life areas.</t>
  </si>
  <si>
    <t>contamination</t>
  </si>
  <si>
    <t>community engagement</t>
  </si>
  <si>
    <t>R_24</t>
  </si>
  <si>
    <t>Students in Tampa area always bring excellent ideas to help environmental conservation but they don't get enough attention</t>
  </si>
  <si>
    <t>lack of recognition</t>
  </si>
  <si>
    <t>youth involvement</t>
  </si>
  <si>
    <t>R_74WjZmsCuDqw9Oh</t>
  </si>
  <si>
    <t>Reduce pollution from companies dumping their waste into our water. Prevent boats from dumping their waste into our waters.</t>
  </si>
  <si>
    <t>water pollution; point-source pollution; companies; boats</t>
  </si>
  <si>
    <t>R_66</t>
  </si>
  <si>
    <t>Too much building on homes/condos pushing wildlife into cities, urban farm lands causing destruction to habitat and wildlife</t>
  </si>
  <si>
    <t>housing development; urban farm land; habitat degradation; wildlife</t>
  </si>
  <si>
    <t>R_6mQoGT1ojkJK9pI</t>
  </si>
  <si>
    <t>Keeping an eye on the shorelines after each hurricane season, looking for tunneling, sinking spots. Education on sink holes!</t>
  </si>
  <si>
    <t>hurricanes; shoreline condition; sink holes</t>
  </si>
  <si>
    <t>monitoring; education</t>
  </si>
  <si>
    <t>R_60</t>
  </si>
  <si>
    <t>Pain the road and street lines. Take care of the roads and inspect bridges. More lights for the streets in the City of Tampa.</t>
  </si>
  <si>
    <t>roads; bridges; street lights</t>
  </si>
  <si>
    <t>infrastructure management</t>
  </si>
  <si>
    <t>R_6H5AhZ5ljupxFPg</t>
  </si>
  <si>
    <t>Increased awareness of boating dangers to wildlife such as manatees. Subsidize prop covers to help reduce boat strike injuries</t>
  </si>
  <si>
    <t>boat strikes; manatees</t>
  </si>
  <si>
    <t>education; subsidize propeller covers</t>
  </si>
  <si>
    <t>R_69</t>
  </si>
  <si>
    <t>Thanks for all that you do! I would love to see more living shoreline projects become available and to get public participation.</t>
  </si>
  <si>
    <t>more living shoreline projects; public involvement</t>
  </si>
  <si>
    <t>R_32QlsBLFGaRNQzY</t>
  </si>
  <si>
    <t>people walking their dogs on people property - even though they pick it up - it leaves remenants and attracts bugs and smells bad</t>
  </si>
  <si>
    <t>pet waste</t>
  </si>
  <si>
    <t>R_1woWTdU4HUY4WVp</t>
  </si>
  <si>
    <t>Protecting Manatees from Propeller damage and creating areas similar to crystal river to protect manatees in the cold winter months</t>
  </si>
  <si>
    <t>R_3vZYhv13uHMPq81</t>
  </si>
  <si>
    <t>How do you define "responsible" enjoyment? Sounds like your trying to dictate someone's use of habitat areas to your own definition.</t>
  </si>
  <si>
    <t>R_1CV2dv9KnJU455z</t>
  </si>
  <si>
    <t>Start teaching the children. Field trips can inspire them. Speakers in the class room. Point system to encourage them to participate.</t>
  </si>
  <si>
    <t>youth education; field trips; classroom speakers; youth involvement</t>
  </si>
  <si>
    <t>R_6FKele1GYlhEByL</t>
  </si>
  <si>
    <t>My recommendation is to stop cutting down trees. Stop building in the neighborhood; we don't have enough wildlife area in our county.</t>
  </si>
  <si>
    <t>development; tree loss; wildlife</t>
  </si>
  <si>
    <t>R_45</t>
  </si>
  <si>
    <t>The residential development is out of control. Losing farm land. Do we have enough water to support all the new homes? Stop building!</t>
  </si>
  <si>
    <t>development; farm loss; water scarcity</t>
  </si>
  <si>
    <t>R_7HqsGDy3iQU12CJ</t>
  </si>
  <si>
    <t>The disposal of concrete in the waters edge to reduceerosion. Is the lime in the concrete safe for wildlife like fish and crustateions</t>
  </si>
  <si>
    <t>use of concrete for erosion; wildlife safety</t>
  </si>
  <si>
    <t>R_5VmO4GwyvqfSLaK</t>
  </si>
  <si>
    <t>I think what is being done in Tampa Bay is extremely important. The water's environment affects all of us and I commend their actions.</t>
  </si>
  <si>
    <t>R_3k1zUN850pxg2Z6</t>
  </si>
  <si>
    <t>I think nature preservation and job openings for nature in Tampa to be more open to help keep wildlife and nature protected and preserved</t>
  </si>
  <si>
    <t>wildlife; nature preservation</t>
  </si>
  <si>
    <t>nature preserves; nature-based jobs</t>
  </si>
  <si>
    <t>R_1kh9wmyRwcqo00C</t>
  </si>
  <si>
    <t>I am an avid diver and over the last 20 years the water quality has improved .you must talk to divers and diver classes , to educate them</t>
  </si>
  <si>
    <t>diver education</t>
  </si>
  <si>
    <t>R_7YmMxLQRhJ9tang</t>
  </si>
  <si>
    <t>State causeway parks should be kept cleaner. Make sure there are trash cans for people to use. Signage encouraging people to keep area clean</t>
  </si>
  <si>
    <t>trash cans; signage</t>
  </si>
  <si>
    <t>R_3u2z1lzvUZQqKzf</t>
  </si>
  <si>
    <t>I'm worried the developers that have now taken seats on boards are going to destroy every last bit of land we have. Someone has to stop them</t>
  </si>
  <si>
    <t>development; political influence; habitat degradation</t>
  </si>
  <si>
    <t>R_6EiBN6uTuX7JUvc</t>
  </si>
  <si>
    <t>I'm sure whoever you have doing the studies o all of these seem worthwhile and all need to be done. It's just getting the community involved.</t>
  </si>
  <si>
    <t>community involvement</t>
  </si>
  <si>
    <t>R_5BNjpmk7tL8aP73</t>
  </si>
  <si>
    <t>I believe most conservation and management priorities are addressed in this survey.  Can't think of any other actions needed for improvement.</t>
  </si>
  <si>
    <t>R_7fwU3Cv8eeBqIVD</t>
  </si>
  <si>
    <t>Better regulations on the constructions of homes in areas that were once farmlands and learning the impact that has on wildlife in the region.</t>
  </si>
  <si>
    <t>housing development; farmland loss; wildlife</t>
  </si>
  <si>
    <t>regulations; research</t>
  </si>
  <si>
    <t>R_3DT5VjyNMtpoI6O</t>
  </si>
  <si>
    <t>Opportunity to engage more with schools throughout the area counties (including Pasco). Education and also encouraging volunteer participation</t>
  </si>
  <si>
    <t>youth engagement; education; volunteer participation</t>
  </si>
  <si>
    <t>R_6f7uPXaLVfhECUt</t>
  </si>
  <si>
    <t>Trermdus amount of polution still exist in our waterways. It is important to teach this next generation of the importance of this critical issue.</t>
  </si>
  <si>
    <t>R_3ZDpQffyF7IeWxt</t>
  </si>
  <si>
    <t>I think reefs for erosion and climate change, protection of beaches and marine life plus safety measures and volunteer work should be highlighted</t>
  </si>
  <si>
    <t>erosion; climate change; beaches; wildlife; safety</t>
  </si>
  <si>
    <t>create reefs; volunteer opportunities; safety measures</t>
  </si>
  <si>
    <t>R_3dc01rxN3pwZJDP</t>
  </si>
  <si>
    <t>We need to encourage everyone to plant more trees!!! And not tear down mature trees. Also fishing is out of hand and needs to be regulated further.</t>
  </si>
  <si>
    <t>tree loss; overfishing</t>
  </si>
  <si>
    <t>tree planting; fishing regulations; community involvement</t>
  </si>
  <si>
    <t>R_1pRVr7wfNHyrGrr</t>
  </si>
  <si>
    <t>Keeping the Bay Area safe for our water tributaries in the area so that we can have a valuable are for visitors and residents that love living here</t>
  </si>
  <si>
    <t>tributaries; safety</t>
  </si>
  <si>
    <t>R_3D0ybC35gbfaHlN</t>
  </si>
  <si>
    <t>Harsher penalties for the destruction of wildlife, wildlife habitats and severe punishment to those who cause harm to animals both domestic and wild</t>
  </si>
  <si>
    <t>wildlife loss; wildlife harm; habitat degradation</t>
  </si>
  <si>
    <t>penalties; punishment</t>
  </si>
  <si>
    <t>R_7TQTO9VditPNzhq</t>
  </si>
  <si>
    <t>There's got to be something done regarding red tide
Then should be a way to detect it better and give people especially adequate time to change plans</t>
  </si>
  <si>
    <t>red tide; preparedness</t>
  </si>
  <si>
    <t>monitoring; communication</t>
  </si>
  <si>
    <t>R_3NhaWONvmA1cA1F</t>
  </si>
  <si>
    <t>I never realized how important the estuary in our area is. This survey has really opened my eyes.
Yes, over the next 10 years we need to prioritize it.</t>
  </si>
  <si>
    <t>R_3sukwwpTsM1R5bm</t>
  </si>
  <si>
    <t>Our area is sought-after for its natural beauty, so rents and home sales prices are high.  We need more affordable housing, especially in coastal areas.</t>
  </si>
  <si>
    <t>affordable housing</t>
  </si>
  <si>
    <t>R_533FQxfoqXDtEmE</t>
  </si>
  <si>
    <t>As far as environment goes as an additional concern I believe as well as water we also need to clean up the Land for pollution and environmental concerns</t>
  </si>
  <si>
    <t>water pollution; land pollution</t>
  </si>
  <si>
    <t>R_53</t>
  </si>
  <si>
    <t>Taking care of the planet we were given is non-partisan! Keep up the good work! Stop Nestle from taking our water. Keep corporate greed away from nature!</t>
  </si>
  <si>
    <t>water use; coporations; privatization</t>
  </si>
  <si>
    <t>R_6DOE4puDqFoEutd</t>
  </si>
  <si>
    <t>Progress is slow, but very important. Also important to involve the general public so everyone has a "buy in" to their community and the place they live.</t>
  </si>
  <si>
    <t>public involvement; community buy-in</t>
  </si>
  <si>
    <t>R_6PXVqpaVLWiSNpD</t>
  </si>
  <si>
    <t>Yes, it would take millions of dollars to get our wildlife looking as good as those pictures. In fact, we have become a polluted city, Tampa Bay pollution.</t>
  </si>
  <si>
    <t>pollution; wildlife</t>
  </si>
  <si>
    <t>R_7Mtc43W6RSCpvVL</t>
  </si>
  <si>
    <t>Improving Walter quality, reducing plastic pollution, and proctetion wildlife habitats should be priortzed yo keep tampoco bay healty for future generation</t>
  </si>
  <si>
    <t>water quality; plastic pollution; wildlife; habitats</t>
  </si>
  <si>
    <t>R_1NXvK9OIABB3JKy</t>
  </si>
  <si>
    <t>I think an important priority for Tampa Bay over the next 10 years should be protecting coastal ecosystems and improving the cleanliness of oceans and bays.</t>
  </si>
  <si>
    <t>coastal ecosystems; trash; bay; ocean</t>
  </si>
  <si>
    <t>R_47</t>
  </si>
  <si>
    <t>Education and enforcement of rules and how nature works would be helpful. It seems many people lack the education or do not care to follow rules. Thank you!</t>
  </si>
  <si>
    <t>awareness; rule breaking</t>
  </si>
  <si>
    <t>education; enforcement</t>
  </si>
  <si>
    <t>R_22</t>
  </si>
  <si>
    <t>My community needs real action helping us with affordable cost of utilisation hazardous waste like paints also screen used TV, chemical, leftovers pesticide</t>
  </si>
  <si>
    <t>chemicals; hazardous waste; pesticides; paint; electronics; affordable waste disposal</t>
  </si>
  <si>
    <t>R_78OQpoBnurJMkEC</t>
  </si>
  <si>
    <t>I think they should try to clean up a little bit in the sea and rivers a lot of animals die because they need our water but sometimes it's not good for them.</t>
  </si>
  <si>
    <t>sea; rivers; wildlife loss; water quality</t>
  </si>
  <si>
    <t>R_3jU5z7RELRkw6lt</t>
  </si>
  <si>
    <t>I think the mobile home communities along Tampa bay should be investigated for chemical runoff and sewer drainage. The condo's , apartments and businesses too</t>
  </si>
  <si>
    <t>mobile homes; chemicals; sewer drainage; residential runoff</t>
  </si>
  <si>
    <t>R_3mYICWSjlomizip</t>
  </si>
  <si>
    <t>Turtle habitats, environmental clean up projects for students to help earn community credit that counts for their community service. Noise and water pollution.</t>
  </si>
  <si>
    <t>turtles; habitats; water pollution; noise pollution</t>
  </si>
  <si>
    <t>clean-up; youth involvement</t>
  </si>
  <si>
    <t>R_1QF2oeQJmJu0CmZ</t>
  </si>
  <si>
    <t>I think the more education the better. The more programs that volunteers can help the better. Find a better way to communicate to the public about ways to help.</t>
  </si>
  <si>
    <t>education; volunteer programs; communication</t>
  </si>
  <si>
    <t>R_7E4GBBoTZWJsImL</t>
  </si>
  <si>
    <t>I think that we need more protected wildlife areas as there are so many unaffordable housing developments being built as well as gas stations and storage places</t>
  </si>
  <si>
    <t>housing development; gas stations; storage facilities</t>
  </si>
  <si>
    <t>R_3IcMfxbHkOEsL5j</t>
  </si>
  <si>
    <t>Concerns about overdevelopment of rural and suburban areas with both residential and commercial properties.  Displacingbwildlife and eliminating their habitats.</t>
  </si>
  <si>
    <t>overdevelopment; residential development; suburban development; commercial development; wildlife displacement; habitat loss</t>
  </si>
  <si>
    <t>R_55sjn6PLThl7o89</t>
  </si>
  <si>
    <t>Sealife and all animal life needs to be protected in FL.  We need to do more to educate and inform the people of FL and to get all involved to "save" FL wildlife!</t>
  </si>
  <si>
    <t>R_62rElIEBOGS25la</t>
  </si>
  <si>
    <t>the proposed cruise port on Rattlesnake Key would be devastating to Tampa Bay and my surrounding environment.  I hope the TBEP is being politically active on this issue.</t>
  </si>
  <si>
    <t>development; cruise port</t>
  </si>
  <si>
    <t>political engagement</t>
  </si>
  <si>
    <t>R_5LqQBj6ilYRWalj</t>
  </si>
  <si>
    <t>My community should prioritize keeping a safe and clean beachfront for the next 10 years. Protecting the beach area helps conserve the environment and will keep it cleaner.</t>
  </si>
  <si>
    <t>beach; cleanliness; safety</t>
  </si>
  <si>
    <t>R_40</t>
  </si>
  <si>
    <t>Stop the development of a cruise ship port in Manatee County! The impact would destroy the current environmental status of the area being considered vegetation and wildlife!</t>
  </si>
  <si>
    <t>development; cruise port; habitat; wildlife</t>
  </si>
  <si>
    <t>R_5o5uW3Zo26NLyrV</t>
  </si>
  <si>
    <t>Environmental conservation priorities: 
-Stormwater runoff reduction
-Restoration of seagrass beds
-Microplastics and litter control
these are things that should be prioritized</t>
  </si>
  <si>
    <t>stormwater runoff; seagrass loss; microplastics; trash</t>
  </si>
  <si>
    <t>R_3DGSmdRv3bYdA5N</t>
  </si>
  <si>
    <t>providing sewer services in buffer zones around waterbodies in the Bay area, including rehabilitation of aging sewer systems and low-cost connections for underserved communities.</t>
  </si>
  <si>
    <t>aging sewer systems; affordable sewer connections; underserved communities</t>
  </si>
  <si>
    <t>sewer system rehabilitation services; incentives/rebates</t>
  </si>
  <si>
    <t>R_7fsrYsVVjiQ9BJv</t>
  </si>
  <si>
    <t>We need to fight hard to stop the over development in our area. Our wildlife are losing their homes and being tun over by people.  Our environment is changing and not for the good.</t>
  </si>
  <si>
    <t>overdevelopment; wildlife; habitat loss</t>
  </si>
  <si>
    <t>R_71FkQkh4u8koVNY</t>
  </si>
  <si>
    <t>Less, or better, planned development that includes too much concrete and is intrusive to nature and natural habitats. Especially to avoid endangering wildlife and more flood zones.</t>
  </si>
  <si>
    <t>development; concrete; habitat intrusion; wildlife endangerment; flood zones</t>
  </si>
  <si>
    <t>limit development; strategic development</t>
  </si>
  <si>
    <t>R_10SGvjwNuLmGfNn</t>
  </si>
  <si>
    <t>This program and it's plans sounds great.  It's concerning to see the increase in boat traffic in Manatee County.  I wonder how the affects the Manatees and other fish.  Thank You!!</t>
  </si>
  <si>
    <t>boat traffic; manatees; fish</t>
  </si>
  <si>
    <t>R_09</t>
  </si>
  <si>
    <t>Save Rattlesnake Key and make it a state park. State to make stricter laws regarding wetlands. State to continue to preserve and protect our Florida forests, preserves and wetland areas.</t>
  </si>
  <si>
    <t>development; cruise port; wetlands; forests</t>
  </si>
  <si>
    <t>stricter laws; create more parks/preserves</t>
  </si>
  <si>
    <t>R_3BRfHDW8XegKRtN</t>
  </si>
  <si>
    <t>I hipe we can get some democracy leadership after the midterms bc deathsantis has almost ruined all eco conservation. Its sad bc Florida is a beautiful paradise and its being disrespected.</t>
  </si>
  <si>
    <t>partisan leadership</t>
  </si>
  <si>
    <t>R_6zSCVOzH3cAPKJ8</t>
  </si>
  <si>
    <t>Due to data centers the preservation of natural water should be a huge priority, as well as the building of them centers not being done in a way that is bad for the environment or ecosystem.</t>
  </si>
  <si>
    <t>data centers; water preservation</t>
  </si>
  <si>
    <t>sustainable development</t>
  </si>
  <si>
    <t>R_1ylUTdBGsH0BVy3</t>
  </si>
  <si>
    <t>The trash pick up I feel like it should be prioritized and when I mean trash I mean like the big junk that be around, because it can create a home for animals that are dangerous go some people</t>
  </si>
  <si>
    <t>trash; dangerous wildlife; human safety</t>
  </si>
  <si>
    <t>R_02</t>
  </si>
  <si>
    <t>Put moratoriums on building large condos and apartments. We as residents are encouraged to restrict water use, yet more and more and more green space gets condos and concrete. Stop building!!!</t>
  </si>
  <si>
    <t>residential development; water use</t>
  </si>
  <si>
    <t>R_3lzbCcQu3gMgMPT</t>
  </si>
  <si>
    <t>General knowledge for people visiting and given to them in a way that they understand how fragile our ecosystem really is and that this is not just a place for fun and to preserve what we have</t>
  </si>
  <si>
    <t>tourists; awareness</t>
  </si>
  <si>
    <t>R_39JwT6BTmj2v5Ml</t>
  </si>
  <si>
    <t>I think these topics should be a mandatory part of the Tampa Bay Public School systems. We have to get them while they are young, so that they grow up learning the importance of these initiatives.</t>
  </si>
  <si>
    <t>R_50ZBcI8ZnjfIsPv</t>
  </si>
  <si>
    <t>Amped up education for kids and adults as well. Repetitively remind both what we are protecting and improving and why. Classes, courses and social media quick course learning and reminding campaigns.</t>
  </si>
  <si>
    <t>education; youth education; communication; social media campaigns</t>
  </si>
  <si>
    <t>R_5DZVhrF5YVmUUb7</t>
  </si>
  <si>
    <t>I think overbuilding should be looked at as it does have lasting damaging effects on the environment of florida. I don't want to see the natural environment of florida be compromised by apartment buildings.</t>
  </si>
  <si>
    <t>overdevelopment; residential development</t>
  </si>
  <si>
    <t>R_1pBEwlpra75BhsZ</t>
  </si>
  <si>
    <t>I think violence should be a topic that is stopped. I think a playground should be more fun for kids and I think school should be more safe and I think strip clubs should allow younger people to work in them.</t>
  </si>
  <si>
    <t>violence; playgounds; school safety</t>
  </si>
  <si>
    <t>R_61</t>
  </si>
  <si>
    <t>Tampa Bay is a dumping area for ships, boats, beach visitors (i.e., Gasparilla/beads everywhere). Solving problem - just talk, talk, talk. Condos, parking lots, and restricted ocean use that's now and the future.</t>
  </si>
  <si>
    <t>ships; boats; beach; tourists; trash</t>
  </si>
  <si>
    <t>communication</t>
  </si>
  <si>
    <t>R_3LNKaZ3tmXzetNX</t>
  </si>
  <si>
    <t>I'd like to see more programs for teenagers and young adults to teach them the importance of having a healthy, clean environment and give them  them the tools and the knowledge they need to combat climate change .</t>
  </si>
  <si>
    <t>R_3F5pKocgd8c93UZ</t>
  </si>
  <si>
    <t>I live on the Little Manatee River and operate an eco tour in the area around Cockroach Bay. The hurricanes have deposited a lot of debris and trash in the river, and I'd like to know how we can organize a cleanup..</t>
  </si>
  <si>
    <t>clean-up; volunteer events</t>
  </si>
  <si>
    <t>R_7GhB9BqUJ5wJMiZ</t>
  </si>
  <si>
    <t>Cleaning up the streets and under bridges where I live in st petersburg between 34th st and 31 st the people use the ground as a garbage can. It makes me upset people would want to harm or pollute this beautiful earth</t>
  </si>
  <si>
    <t>streets; bridges; trash</t>
  </si>
  <si>
    <t>R_5I5ymbwuvnCuKfP</t>
  </si>
  <si>
    <t>We need to make sure we focus on not cutting down trees and eliminating wildlife areas for more car washes and apartment complexes or storage units. Daily we're losing more and more of out nature for buildings we don't need.</t>
  </si>
  <si>
    <t>tree loss; habitat loss; wildlife; residential development; commercial development</t>
  </si>
  <si>
    <t>R_3wI3OjXsd04T6ff</t>
  </si>
  <si>
    <t>Key issues include improving water quality in the bay and surrounding waterways, reducing pollution and nutrient runoff, and restoring seagrass, wetlands, and mangrove habitats that protect against flooding and support wildlife.</t>
  </si>
  <si>
    <t>water quality; bay; waterways; nutrient runoff; seagrass; wetlands; mangroves; flooding; wildlife</t>
  </si>
  <si>
    <t>R_1qaM57pIamXSkal</t>
  </si>
  <si>
    <t>I think some efforts should be made to collect safe water a distribute it into parts of the landscape that need it. For instance, there is a lake that tends to deplete regularly and it practically needs a hurricane to replenish it.</t>
  </si>
  <si>
    <t>lake; water scarcity</t>
  </si>
  <si>
    <t>water distribution/replenishment</t>
  </si>
  <si>
    <t>R_1ithdMC3rNtTKLv</t>
  </si>
  <si>
    <t>I feel that the rise in 'red tide' and whatever causes it is a health risk to all inhabitants, humans and mammals. Steps to educate people and corporations on ways to reduce the incidence of red tide are key for the future of this area.</t>
  </si>
  <si>
    <t>red tide; human health; wildlife lhealth</t>
  </si>
  <si>
    <t>R_1f3o6uN3vmOIHzH</t>
  </si>
  <si>
    <t>Over the next 10 years, Tampa Bay should focus on improving water quality, protecting wetlands and wildlife, and increasing resilience to climate change through better stormwater management, sustainable development, and community education</t>
  </si>
  <si>
    <t>water quality; wetlands; wildlife; climate change</t>
  </si>
  <si>
    <t>stormwater management; sustainable development; education</t>
  </si>
  <si>
    <t>R_7IkxsPWvHISPLX3</t>
  </si>
  <si>
    <t>Regarding the reclaimed water topic, I should have put more "unsure" answers since I support other bmps being important or employed to minimize reclaimed water use in general. Reclaimed water is a source of nutrient pollution in my opinion.</t>
  </si>
  <si>
    <t>reclaimed water; nutrient pollution</t>
  </si>
  <si>
    <t>minimize reclaimed water use</t>
  </si>
  <si>
    <t>R_7SJGmxFIdFq1rB9</t>
  </si>
  <si>
    <t>Prioritize public education, outreach and citizen science opportunities to help make the general public more aware of the issues impacting Tampa Bay. Support funding for more restoration projects and opportunities for the public to volunteer.</t>
  </si>
  <si>
    <t>education; outreach; citizen science; restoration funding; volunteer opportunities</t>
  </si>
  <si>
    <t>R_7VKlzLRFSUAkIek</t>
  </si>
  <si>
    <t>I would like to bring up the need for better habitats for native species as more homes are built. More and more native species become displaced as more homes are built and developed. The native species need a form of hole to continue reproducing.</t>
  </si>
  <si>
    <t>habitats; wildlife displacement; residential development</t>
  </si>
  <si>
    <t>habitat improvements</t>
  </si>
  <si>
    <t>R_3TU4reo9EDDNbod</t>
  </si>
  <si>
    <t>I feel all of the construction going on in this area is a huge threat to wildlife.  I live in a neighborhood that is 85%preserve.  There are so many misplaced animals.  Our beautiful trees are being cleared out for yet more housing.  When will it end?</t>
  </si>
  <si>
    <t>housing development; wildlife displacement; tree loss</t>
  </si>
  <si>
    <t>R_43</t>
  </si>
  <si>
    <t>The area around Lake Maggiore are not being cleaned or maintained. The lake is overgrown with cattails and you can't enjoy the view from the park or the home along the lake. When reach out to find out who is responsible for the lake there is lack of accountability.</t>
  </si>
  <si>
    <t>habitat degradation; lake; overgrowth; accountability</t>
  </si>
  <si>
    <t>clean-up; maintenance</t>
  </si>
  <si>
    <t>R_1kqql9U0PdPprzz</t>
  </si>
  <si>
    <t>I live on a small lake/large pond, the amount of lawn care chemical companies spraying yards that drain into the lake is unacceptable. We have issues with the water based on run-off. Recommend a large area ban back from a body of water for applying these chemicals.</t>
  </si>
  <si>
    <t>lake; pond; chemical runoff; landscaping practices</t>
  </si>
  <si>
    <t>chemical application restrictions</t>
  </si>
  <si>
    <t>R_3dgDLBo0CXgbiBO</t>
  </si>
  <si>
    <t>Taking care of the homeless in the streets making tiny house for them to live getting them jobs opening more places for them to sleep and eat to clothes them we donate plenty of clothes to the Salvation Army and Goodwill so we can clothes them and furnish there home.</t>
  </si>
  <si>
    <t>tiny homes; job opportunities; shelters</t>
  </si>
  <si>
    <t>R_5PjwTErL0O6pRBh</t>
  </si>
  <si>
    <t>I feel like these are quality objectives. I do believe that toxic waste, littering and keeping the environment healthy is a top priority because the environment is what provides our bodies with nutrients and cleanses us. We need our air and nature to be less polluted.</t>
  </si>
  <si>
    <t>toxic waste; trash; air pollution</t>
  </si>
  <si>
    <t>R_6PZdGQ0zPQfzVmS</t>
  </si>
  <si>
    <t>Getting more information with red and blue tide that affects the areas yearly blue isn't as often but I know red tide hits once if not twice a year I believe a lot of it still comes down from the Mississippi to the Delta from all the farms along its journey to the Gulf</t>
  </si>
  <si>
    <t>red tide; blue tide</t>
  </si>
  <si>
    <t>R_7wMG6RcHBn1Z2Zv</t>
  </si>
  <si>
    <t>It was talking about nature on earth, beautiful water, different parts of the world. Some things in nature may have built rounded or on it, but it's very good. The lights get clean out when they have fresh water for the fish and four people fishing. It was a very nice topic</t>
  </si>
  <si>
    <t>R_301qoHFMmqK55wO</t>
  </si>
  <si>
    <t>Housing rentals why is it so hard to rent a house or an apartment in today's economy why is it so hard to find a job when everybody needs help but don't want to hire why is it so hard for the Young people to live in this economy nowadays when we're the future we need to change that</t>
  </si>
  <si>
    <t>affordable housing; job availability</t>
  </si>
  <si>
    <t>R_07</t>
  </si>
  <si>
    <t>Stop concrete! Too much development. Than God I have acreage. I have deer, turkeys, coyotes and other wildlife because they have been run out of their habitat. Thanks to Hillsborough County and their greed!! And I was born and raised here. It makes me sick to see it getting worse day by day.</t>
  </si>
  <si>
    <t>development; concrete; wildlife displacement</t>
  </si>
  <si>
    <t>R_3NWJxdNQeQPYiTZ</t>
  </si>
  <si>
    <t>Need to address the building of houses  in the animals pathways to the rivers. More information about the conservation parks in the Tampa Bay area. Most I knew about the parks was from taking Girl Scounts, going on school field trips and HCC college biology class field trips  with my daughter.</t>
  </si>
  <si>
    <t>housing development; wildlife; river</t>
  </si>
  <si>
    <t>R_6o6dE5XCVlAuC8p</t>
  </si>
  <si>
    <t>Boater education - safe speeds for manatee &amp; canal areas; depth of bay near shoreline &amp; how to use channel markers. A lot of new boaters in the area over the past few years, many either don't know or don't care about no wake / minimum wake zones or damage done by running aground in shallow areas.</t>
  </si>
  <si>
    <t>boating practices; manatees; awareness; rule breaking</t>
  </si>
  <si>
    <t>boater education</t>
  </si>
  <si>
    <t>R_5eQ5UP19OONkG77</t>
  </si>
  <si>
    <t>My opinion is that there is too much growth in Florida, pushing our wildlife into areas that are unsafe for them, as well as for humans. The more things are built, the fewer trees to clean our air, and the risk of unsafe occurrences with the animals we have lived mostly in peace with for centuries.</t>
  </si>
  <si>
    <t>development; wildlife displacement; wildlife safety; human safety; air pollution; tree loss</t>
  </si>
  <si>
    <t>R_3CEAQc4obx7cRqG</t>
  </si>
  <si>
    <t>Prioritize low-impact development and landscaping (can we mandate it?), incentivize remaining privately owned non-developed land (including agriculture) to stay undeveloped, encourage and implement as many conservation easements as possible, protect and honor aquatic preserves and surrounding habitats...</t>
  </si>
  <si>
    <t>development; landscaping practices</t>
  </si>
  <si>
    <t>sustainable development; landscaping mandates; incentives; conservation easements; nature/aquatic preserves</t>
  </si>
  <si>
    <t>R_3wAzciNBDWNAa5U</t>
  </si>
  <si>
    <t>Response to catastrophic flooding and natural events. Last years hurricanes washed large but totally unquantified amounts of debris into the estuaries and coastal ocean. Post event monitoring of some kind (sonar mapping) needs to be done to quantify the debris load and impact to habitats from these events.</t>
  </si>
  <si>
    <t>flooding; hurricanes; trash; disaster response</t>
  </si>
  <si>
    <t>monitoring; sonar mapping; assessment</t>
  </si>
  <si>
    <t>R_77IFaH8CXh3N4WG</t>
  </si>
  <si>
    <t>Providing a platform for a coalition of microplastics research in Tampa Bay. There are silos of experts that would love the opportunity to collaborate and have a working group with environmental managers. One goal of this working group could be providing standardized methods for microplastics/PFAS monitoring.</t>
  </si>
  <si>
    <t>microplastics; PFAS</t>
  </si>
  <si>
    <t>monitoring; research; collaboration</t>
  </si>
  <si>
    <t>R_13UZPE0fLccYlrj</t>
  </si>
  <si>
    <t>I feel that more people could help clean up the beaches, clean up the parks. Don't throw your trash anywhere I would volunteer your time to clean up benches trash, and make others aware of how important it is not true things in the water and how important it is to keep the lights off in May for the sea turtles</t>
  </si>
  <si>
    <t>beach; parks; trash; light pollution; sea turtles</t>
  </si>
  <si>
    <t>clean-up; education; volunteering</t>
  </si>
  <si>
    <t>R_5mFAnLntus6e6Zf</t>
  </si>
  <si>
    <t>It would be beneficial to research a program that incentivizes and decreases the challenges in private homeowner replacement of seawalls with living shorelines.  Decrease or at least streamline the permitting process for environmental organizations wishing to facilitate the switch between armored shorelines to living shorelines.</t>
  </si>
  <si>
    <t>seawalls; permitting</t>
  </si>
  <si>
    <t>incentives; living shorelines; streamlined permitting</t>
  </si>
  <si>
    <t>R_7eVmMLcAkKjp4UF</t>
  </si>
  <si>
    <t>I agree with the issues at hand especially the chemicals in the water and ways for the public to individualize the importance and maintenance helping us as a region make sure our kids and ourselves aren't poisoning ourselves and others all while somehow helping our water ways considering Florida is a coastal and aquatic area as is.</t>
  </si>
  <si>
    <t>chemicals; water; waterways; responsibility</t>
  </si>
  <si>
    <t>maintenance; stewardship</t>
  </si>
  <si>
    <t>R_3q9YDRZkxEDiCij</t>
  </si>
  <si>
    <t>I think research and study groups should constantly be residing in Saint Pete doing research and making changes that have a direct action affect. The water has turned to a stage smell over the past ten years! People with knowledge on this topic need to have jobs monitoring and affecting immediate changes as companies are doing harm.</t>
  </si>
  <si>
    <t>water smell</t>
  </si>
  <si>
    <t>research; monitoring; water quality based jobs</t>
  </si>
  <si>
    <t>R_1eEKftSDiF3RQmv</t>
  </si>
  <si>
    <t>When it comes to the drainage of the city streets, there is always trash that builds up and that trash ends up in the water in other areas of Tampa and that is another issue that effects the wildlife and natural areas of Tampa. Having a way for that trash to be caught and contained before it makes it into the water would help nature.</t>
  </si>
  <si>
    <t>trash; wildlife; streets; drainage</t>
  </si>
  <si>
    <t>stormwater management; trash collection mechanisms</t>
  </si>
  <si>
    <t>R_7pFE7JYUCBOvd1x</t>
  </si>
  <si>
    <t>Improve public transportation in Pinellas County. The bus routes don't run often enough and the pick up and drop off sites are out in the hot sun or rain with no shelter. Many of the stops don't even have a bench to sit on. There are a lot of seniors that can't afford a car or an Uber ride. Please make the bus more accessible for everyone.</t>
  </si>
  <si>
    <t>public transportation; bus accessibility</t>
  </si>
  <si>
    <t>bus frequency; bus shelters; bus benches</t>
  </si>
  <si>
    <t>R_78</t>
  </si>
  <si>
    <t>There is a need for more recreative environments for people with developmental handicaps, blind in work environments, ability to be able to increase education by participation in group or individual apprenticeships through advanced technology and learning skills, i.e., technological equipment opportunities to learn and participate communicably.</t>
  </si>
  <si>
    <t>handicap accessibile recreation</t>
  </si>
  <si>
    <t>accessible recreation opportunities; education</t>
  </si>
  <si>
    <t>R_26</t>
  </si>
  <si>
    <t>I believe all outlined areas to be of importance but am repeatedly disappointed in local residents' behavior. I feel like I'm an outsider in caring for the area I live in and its surroundings. I'd love to see projects regarding native wildlife in our growing urban environments. I've reached out to Pinellas and [?] about measures but no one cares.</t>
  </si>
  <si>
    <t>wildlife; residential behaviors</t>
  </si>
  <si>
    <t>county programs</t>
  </si>
  <si>
    <t>R_75</t>
  </si>
  <si>
    <t>My wife and I were travel agents for 30 years, traveling the world with groups. How [...] 6 years have been retired and volunteer feeding and helping those in need in 33542, Zephyrhills. Hundreds of folks that are most concerned about trying to keep a roof over their head [...] and feeding their families. Big difference in [...] over the past 6 years.</t>
  </si>
  <si>
    <t>R_5L28596UCWvsgA8</t>
  </si>
  <si>
    <t>I think the City of Tampa Bay needs to be greater focus on proactively improving the safety of high-risk flood zone regions ahead of hurricane seasons. I live right on the Hillsborough River and nearly had catastrophic storm damage from both major hurricanes in 2024. I also think the quality and safety of our roads needs improvement. Potholes are a major issue.</t>
  </si>
  <si>
    <t>flooding; hurricanes; storm damage; human safety; roads; potholes</t>
  </si>
  <si>
    <t>R_7zRnynjDsNAE7gR</t>
  </si>
  <si>
    <t>In addition to living shorelines and other green infrastructures needing to be put in place. Bioremediation is key for water quality. Since TBEP is interested in this area, focus on bioswales on land can improve quality before it enters the waterways. Focusing on more "creek" clean ups, like Booker Creek or things upstream to prevent the spillage of marine debris.</t>
  </si>
  <si>
    <t>water quality; creeks; trash</t>
  </si>
  <si>
    <t>living shorelines; green infrastructure; bioremediation; bioswales; clean-up</t>
  </si>
  <si>
    <t>R_3J5lNLCoA1Fqdwr</t>
  </si>
  <si>
    <t>1)  Wastewater to potable
2)  Increase flushing in OTB by dredging channel from east end of Gandy Bridge to Safety Harbor, with side extension into Largo Inlet
3)  Conversion of low-lying coastal residential areas that are highly vulnerable to flooding into coastal habitat restoration zones (I know, expensive, but $1billion would buy out Shore Acres. Just sayin').</t>
  </si>
  <si>
    <t>potable water reuse; channel dredging/flushing; coastal land acquisition; habitat restoration</t>
  </si>
  <si>
    <t>R_81</t>
  </si>
  <si>
    <t>I was born and raised in Pinellas County. Love to fish but I cannot fish the same and access for wheelchair fishing is limited. Some of the areas around Terra Verdi and places where we could go to is not there and the bigger bridges have become so tall you can't fish from them. In fact some would clam and crab from them but no more. They should stop building on sand!</t>
  </si>
  <si>
    <t>handicap accessibile fishing; development</t>
  </si>
  <si>
    <t>accessible fishing opportunities; strategic development</t>
  </si>
  <si>
    <t>R_1xPgtuOs5JtKHAJ</t>
  </si>
  <si>
    <t>Long term conservation over development! Housing developments are threatening long established ecosystems all over Tampa Bay. A perfect example is the development along Morris bridge road between Tampa and Zephyrhills. I see dead otters on the road every week driving to work. Fight to put the environment, protected land, and green space over the profits of development!</t>
  </si>
  <si>
    <t>housing development; wildlife loss; otters</t>
  </si>
  <si>
    <t>advocacy</t>
  </si>
  <si>
    <t>R_04</t>
  </si>
  <si>
    <t>If the following steps are taken then it would keep the ocean moving freely through the county and it would even help more to revive all the ditches and remove the drains: (1) open up the Anclote River to the bay, (2) open up a water way north of the Gandy bridge over to Lake Seminole, (3) open up the passage that existed at 24th Ave S to Lake Maggorie to drain into the bay.</t>
  </si>
  <si>
    <t>water flow; ditches; drains</t>
  </si>
  <si>
    <t>hydrological restoration; tidal tributary restoration</t>
  </si>
  <si>
    <t>R_3GP7YIJoYLZQswU</t>
  </si>
  <si>
    <t>Storm water runoff into Tampa Bay will be our next big challenge for improving water quality in the Bay. Retrofitting old storm water systems would be a significant (and expensive) step towards protecting water quality. I would start with best management storm water practices at municipal boat ramps, addressing parking lot runoff in areas that are highly visible to residents.</t>
  </si>
  <si>
    <t>stormwater runoff; water quality; municipal boat ramps; parking lots</t>
  </si>
  <si>
    <t>retrofitting old stormwater systems; stormwater management</t>
  </si>
  <si>
    <t>R_5ERmsWEB3QD1UcH</t>
  </si>
  <si>
    <t>Harmful algal blooms, threatening both ecosystems and public health, is still a major concern.
An additional topic of concern associated with resiliency is heat exposure.
Top conservation priorities include balancing rapid development in the watershed with protection and restoration of tidal streams, as well as maintaining and increasing wildlife corridors throughout the region.</t>
  </si>
  <si>
    <t>harmful algal blooms; human health; wildlife health; heat exposure</t>
  </si>
  <si>
    <t>sustainable development; tidal tributary restoration; wildlife corridors</t>
  </si>
  <si>
    <t>R_6Ge5geDkord1QOZ</t>
  </si>
  <si>
    <t>I live near Lake Maggiore and see firsthand how important it is for local wildlife. Unfortunately, the lake is often heavily littered, which negatively impacts the ecosystem and surrounding community. Prioritizing cleanup efforts, trash management, and conservation initiatives at Lake Maggiore over the next decade would make a meaningful difference in protecting this valuable habitat.</t>
  </si>
  <si>
    <t>lake; wildlife; trash</t>
  </si>
  <si>
    <t>clean-up; waste management; maintenance</t>
  </si>
  <si>
    <t>R_3Ed2kKgIupqmq1Z</t>
  </si>
  <si>
    <t>Educate Florida House and Senate members about the economic benefits of conservation actions, especially climate resiliency and habitat protection. The Legislature's bills are continually at odds with actions to promote environmental conservation and climate resilience, and seek to erode home rule and prevent local communities from implementing effective solutions to real environmental problems.</t>
  </si>
  <si>
    <t>political influence; habitat loss; climate change</t>
  </si>
  <si>
    <t>education; political engagement; communication</t>
  </si>
  <si>
    <t>R_1uqtYZhBidPTNmX</t>
  </si>
  <si>
    <t>Prioritization of the use of native plants is very important for any conservation and restoration project. I will be much more likely to support any effort if it explicitly emphasizes the importance of native plants, and detriment of invasive plants. A specific goal would to use all native plants for a project, and have a 10 year plan in place for continued control of invasive plants and animals.</t>
  </si>
  <si>
    <t>invasive species</t>
  </si>
  <si>
    <t>invasive species control; native plantings</t>
  </si>
  <si>
    <t>R_1mENy6CnNXwgRDX</t>
  </si>
  <si>
    <t>I worry that Tampa Bay residents have already given up on the bay. It's upsetting to see the amount of garbage just thrown in nature (plastic water bottles, snack wrappers and plastic bags, fast food). I believe tourism is also a concern and a need. Many tourists and locals visit the springs that feed in to the bay. Teaching care and the effects we as humans have on this ecosystems (ie beer cans etc.)</t>
  </si>
  <si>
    <t>trash; plastic; tourism; apathy</t>
  </si>
  <si>
    <t>R_1hdduoHxhdZKwmZ</t>
  </si>
  <si>
    <t>I am concerned about the growth of population in Tampa, Florida and the entire state in general.  We have to many people, not enough homes and space for them to be constructed and not nearly enough potable water for them states' population.  It is mid-January and are in a dry and drought period with many months to go before the rainy season. Florida is not fortunate enough to get hurricanes every year.</t>
  </si>
  <si>
    <t>population growth; water scarcity; drought</t>
  </si>
  <si>
    <t>R_1JfRQSHU4fy4BKK</t>
  </si>
  <si>
    <t>The environment protection in Tampa Bay has a constant struggle in the Gulf of Mexico where all lawn and tree care products are produce CO2 , which , upon contact with the sea, harms marine life, causing damage to endangered species. The use of products that damage the environment for lawn and tree care makes us consider reducing chemicals use, and installing artificial turf would be one to help nature.</t>
  </si>
  <si>
    <t>landscaping products; carbon dioxide; wildlife loss; chemicals</t>
  </si>
  <si>
    <t>artificial turf installation</t>
  </si>
  <si>
    <t>R_5Lhv3KqMnjCZUx6</t>
  </si>
  <si>
    <t>Have a Tampa Bay Park day 
But involve public transportation for people who don't have vehicles are where people can go park their vehicle and ride the bus back and forth to Tampa Bay Park today and on that particular day or weekend certain parts could have people from local environmental services and animal organizations to teach us more about how to keep our water and land cleaner and protection of our wildlife</t>
  </si>
  <si>
    <t>accessible recreation opportunities; wildlife; pollution</t>
  </si>
  <si>
    <t>public events; outreach; education</t>
  </si>
  <si>
    <t>R_3OsvKBoWy969Qu5</t>
  </si>
  <si>
    <t>In the Tampa Bay area, issues such as stormwater runoff, aging infrastructure, and the effects of coastal development on local waterways should be prioritized over the next ten years. These challenges directly impact water quality, environmental health, and community safety. Addressing them will require long-term planning and collaboration among local leaders, organizations, and residents. Which is all deeply important to me</t>
  </si>
  <si>
    <t>stormwater runoff; aging infrastructure; coastal development; water quality; environmental health; human safety</t>
  </si>
  <si>
    <t>cross-sector collaboration</t>
  </si>
  <si>
    <t>R_17</t>
  </si>
  <si>
    <t>Republican lawmakers are the worst at conserving the environment. They are not conservative at all, and in fact liberally destroy the environment by their quest for money, money, money. When God said, "I give you dominion over all the animals, plants, and land of the earth," they took this to mean kill, pillage, steal, and destroy the earth. We need better lawmakers and religions to save the Tampa environment. No cruise terminal in Manatee County!!!!</t>
  </si>
  <si>
    <t>political influence; cruise port</t>
  </si>
  <si>
    <t>political leadership; religious leadership</t>
  </si>
  <si>
    <t>R_10</t>
  </si>
  <si>
    <t>Coastal over development along shorelines and in wetlands continues to be a problem. Proper infrastructure improvement consisting of roads and wastewater treatment capacity. The nitrogen problem is more directly related to municipality discharges during storm events. That is the only time it is reported to the public. I'm sure it happens quite often and is not reported along with many other issues. Planning in Hillsborough County is 50+ years behind the curve.</t>
  </si>
  <si>
    <t>coastal development; wetlands; failing infrustructure; nitrogen; municipal discharges; storms</t>
  </si>
  <si>
    <t>roads improvements; wastewater treatment capacity</t>
  </si>
  <si>
    <t>R_01</t>
  </si>
  <si>
    <t>Governments must become full participants in this process. No releases of untreated sewage into waterways. Eradication of invasive plants on government owned property. Availability of recycled water for irrigation without restrictions on times and days of watering (which is how the program was sold to the public at the onset of the program!!). Florida used to be one of the most litter-free states in this country - not anymore! Teach young people not to litter!</t>
  </si>
  <si>
    <t>untreated wastewater discharge; waterways; invasive species; water use; trash</t>
  </si>
  <si>
    <t>government responsibliity; wastewater management; invasive species removal; reclaimed water; youth education</t>
  </si>
  <si>
    <t>R_6ifkdRhn3t7nizS</t>
  </si>
  <si>
    <t>The reason I don't use the nature preserve areas, parks and all as much ad I used to is simple. Lack of access.  I'm now using  mobility aids and most nature areas don't have any accommodation for them.  Try using a rollator on a soft uneven surface or through a undeveloped path. I'm on Riverwalk most weekends and try to get over to St. Pete park. That's a out it. I'd love to be able to stroll through the preserves like I used to, however it just isn't doable right now.</t>
  </si>
  <si>
    <t>accessible nature areas</t>
  </si>
  <si>
    <t>accessible recreation opportunities</t>
  </si>
  <si>
    <t>R_5q8Sj6X575C6Itl</t>
  </si>
  <si>
    <t>Keep people from pulling up crab traps that dont belong to them, and fwc needs to lay off [...] because he had people his competitors pulling up his traps and them not getting in any trouble for it. Not fair at all. My name is [...] and I believe there should be better methods of being able to protect your traps, maybe putting the tags under water so nobody can see where your traps are, so they cannot be seen to be pulled by anyone that they don't belong to.</t>
  </si>
  <si>
    <t>R_7p2WMK8GdCE6vQ9</t>
  </si>
  <si>
    <t>Water quality has to be one of the highest priorities for the Tampa Bay region for the foreseeable future.  With continued growth and population density ever increasing, we MUST find a way to care for our greatest asset‚Ä¶water!
Manage growth and require greater impact fees for increased density growth.
Improve infrastructure to support the growth and limit runoff from yards and streets.
Continue efforts to preserve waterways and shores from added pollution and growth on those shores or proximity.</t>
  </si>
  <si>
    <t>water quality; population growth; population density; runoff; yards; streets; pollution; shores</t>
  </si>
  <si>
    <t>population growth management; impact fees for increased density growth; sustainable development</t>
  </si>
  <si>
    <t>R_3TUZRKISpit8Emd</t>
  </si>
  <si>
    <t>Please stop creating so many useless regulations.  There are so many laws set up yo merely virtue signal.  These needless regulations and over regulation ruin the outdoors in Florida.  Keep some wild areas where people can enjoy them without milking taxes out of us and fining us for driving on the wrong roads.  Warnings on fish instead of massive fines for newer folks.  Please try to shrink the role and tax dollar impact of sooooo many unneeded programs.  Im sure there are more than enough volunteers.</t>
  </si>
  <si>
    <t>regulations; fines; taxes</t>
  </si>
  <si>
    <t>relax regulations; warnings instead of fines</t>
  </si>
  <si>
    <t>R_7MEjGNzhTD2YYO7</t>
  </si>
  <si>
    <t>In gibsonton we are in dire need of better public transportation. Our buses only run Monday -Friday 6am-8:30pm. There is very limited covered benches to help the elderly , handicapped and others from the elements. There's are multiple desperately needed routes that would help with very job security and health benefactors. Furthermore I feel like the "new" flamingo fares are a cruel joke and it's a failing process. It charges more money for the trips with no break to the financially embarrassed people like me.</t>
  </si>
  <si>
    <t>R_38</t>
  </si>
  <si>
    <t>Thank you for sending out this survey. I spend at least 1 weekend day from March - October on the beach and cherish the natural beauty of our area. Ft. Desoto is my favorite. I make it my mission to pick up any trash I see when I'm out. I think our biggest issue is fighting the proposed cruise terminal on Rattlesnake Key. It will be tough with the regime we have currently that only sees dollar signs on our natural habitats, but we can fight and we can win. Thank you for all that your program does to save our natural resources.</t>
  </si>
  <si>
    <t>cruise port; trash</t>
  </si>
  <si>
    <t>R_517INtl1aVDl1ZA</t>
  </si>
  <si>
    <t>The port side of the bay is light years ahead of Old Tampa Bay. From Upper Tampa Bay park to Gandy bridge the East side of the bay is beaten and broken. Zero freshwater flow, flesh-eating bacteria, zero environmental and law enforcement, and thousands of new people utilizing the water for recreation. Grass is gone, mud and sludge are abundant. There will be 2 more new bridge projects soon that will continue the assault on our environment on the western side of Tampa Bay. New Gandy and Courtney Cambell will put even more pressure on the resource.</t>
  </si>
  <si>
    <t>water flow; pathogens; enforcement; recreational pressure; habitat degradation; bridges</t>
  </si>
  <si>
    <t>R_506KOkxUSKdv1iu</t>
  </si>
  <si>
    <t>I think all of the wildlife needs to be protected and not just certain species. Wildlife is getting driven out of their natural surroundings from all of the construction and development. This needs to stop. There are plenty of places for people to live that move here. I have seen development areas in known bald eagle nesting areas. This is unacceptable. More has to be done for our wildlife and the environments immediately or we won't have that anymore. Right now we are almost to the point where the damage that has been done is almost irreversible.</t>
  </si>
  <si>
    <t>wildlife displacement; development; construction; bald eagles</t>
  </si>
  <si>
    <t>R_1yqagp9og2DUio9</t>
  </si>
  <si>
    <t>Over the next 10 years, Tampa Bay should prioritize building long-term resilience to climate change while protecting the natural systems that define and sustain our community. Key actions include accelerating coastal resilience and adaptation planning for sea-level rise, stronger storms, and flooding‚Äîespecially in vulnerable neighborhoods‚Äîthrough living shorelines, wetland restoration, and resilient infrastructure. Protecting and restoring seagrass, mangroves, salt marshes, and freshwater inflows should remain a top conservation priority, as these habitats support fisheries, water quality, and storm protection.</t>
  </si>
  <si>
    <t>climate change; sea level rise; storms; flooding; seagrass; mangroves; salt marshes; tidal tributaries; fisheries; water quality; storm protection</t>
  </si>
  <si>
    <t>resilience and adaptation planning; living shorelines; wetland restoration; resilient infrastructure; habitat restoration</t>
  </si>
  <si>
    <t>R_3KPqGPBRG5w0AaR</t>
  </si>
  <si>
    <t>Climate resilience and adaptation: Accelerate planning for sea-level rise, stronger storms, and extreme heat through living shorelines, floodplain restoration, updated building codes, and protection of vulnerable neighborhoods.
Water quality and watershed protection: Reduce nutrient pollution from stormwater, septic systems, and agriculture to address harmful algal blooms and seagrass loss. Prioritize green infrastructure, wetland restoration, and basin-wide coordination.
Habitat conservation and connectivity: Protect remaining wetlands, mangroves, seagrasses, and upland habitats while restoring wildlife corridors to support biodiversity and fisheries.</t>
  </si>
  <si>
    <t>climate change; sea level rise; storms; extreme heat; water quality; nutrient pollution; stormwater; septic systems; agricultural runoff; harmful algal blooms; seagrass loss; wetlands; mangroves; upland habitat; biodiversity; fisheries</t>
  </si>
  <si>
    <t>resilience and adaptation planning; living shorelines; habitat restoration; building codes; green infrastructure; basin-wide coordination; wildlife corridors; habitat connectivity</t>
  </si>
  <si>
    <t>R_1ltuUNH5LY3AWKl</t>
  </si>
  <si>
    <t>Many topics relate to encouraging or studying water impacts from households/HOAs. An additional priority to consider is studying the role industry or large corporations play in Tampa Bay. Are they attending meetings related to Tampa Bay health and actions? Can there be a study to map these areas across the region and see how close they are to waterways? Could there be a collaborative study or sharing of data to study how water quality near these places if close to waterways compares to the water quality further away? Are they impacting Tampa Bay more than the actions of homeowners? Maybe recommendations/incentives targeted to these entities to change practices if discharges from these areas are impacting water quality? Or else a fund that industries and corporations impacting the bay can pay into to help fund actions in the CCMP?</t>
  </si>
  <si>
    <t>industry/corporate influence; water quality; homeowner influence; discharge</t>
  </si>
  <si>
    <t>research; industry engagement; incentives; polluter-pays funding scheme</t>
  </si>
  <si>
    <t>R_6LZmdCPmyPoz2s1</t>
  </si>
  <si>
    <t>Design and implement a framework to accommodate and fund coastal retreat where habitat migration is possible or could be possible.
Increase focus on living shorelines that include multiple habitats - at scale.
Channel restoration funding and focus toward projects that increase habitat values, protect shorelines, and improve water quality AT SCALE. Postage stamp projects will not move the needle. 
Develop a living shoreline and restoration success determination framework - many of the funded projects provide minimal value long-term.
Incentivize fertilizer reduction and conversion of lawns to native drought tolerant landscapes. Residential incentives with grants and providing no/low cost materials. Commercial/development can be incentivized with density increases, etc. Must be implemented through managed and tracked developer agreements with funds held in escrow to maintain and refurbish.</t>
  </si>
  <si>
    <t>coastal retreat; small scale restoration; fertilizer; development</t>
  </si>
  <si>
    <t>funding programs; large-scale restoration; diverse living shorelines; assessment; incentives; native landscaping; high-density development; developer agreements</t>
  </si>
  <si>
    <t>R_49</t>
  </si>
  <si>
    <t>I'm very concerned about the rapid overdevelopment along US-301 near the state park. The frequent and visible deaths of wildlife - particularly deer, alligators, turtles, and hots - are clearly evidence that development is outpacing the area's environmental capacity. These animals are being displaced from their natural habitats with nowhere safe to go, which directly reflects poor planning and inadequate environmental mitigation. In addition, the strain on local water resources is becoming obvious with an overall system stress, suggesting that infrastructure and natural systems weren't designed to handle the volume of new housing now in place. Can the TBEP take more action in evaluating cumulative development impacts, enforcing protections for wildlife corridors and wetlands, and holding local governments and developers accountable before irreversible damage is done? Pardon my grammar, I'm upset.</t>
  </si>
  <si>
    <t>overdevelopment; wildlife loss; deer; alligators; turtles; wildlife displacement; poor planning; water stress</t>
  </si>
  <si>
    <t>assessment of cumulative impacts; enforcement; wildlife corridors; government accountability; developer accountability</t>
  </si>
  <si>
    <t>R_6NCYNZZZXBGOMSd</t>
  </si>
  <si>
    <t>My community in lutz/landolakes area has been almost completely over taken by subdivisions and apartments, not to mention all the new businesses, such as multiple ‚Äú711‚Äù and ‚Äúcircle K‚Äù gas stations right down the same street, less than a couple blocks from each other. It's upsetting because I grew up in the area when it was just a small town with cow pastures and orange fields. The Parks and preservations are becoming fewer and farther in between cities. I am definitely a huge supporter of conservation and hope to see a change. The wildlife in my community are losing their habitats. Incidents of road kill on a daily basis leaving terrible stenches around the road ways. Multiple species of wildlife are being killed off by the constant traffic flows.There definitely needs to be significant improvement on conservation activities in my community. I am not an activist but truly a concerned citizen for my community and the wildlife habitats. I understand citys need growth but lines should be drawn for wildlife protection and habitat conservation.</t>
  </si>
  <si>
    <t>commercial development; residential development; habitat loss; wildlife loss; traffic</t>
  </si>
  <si>
    <t>R_3gj25QBkmzIl3uU</t>
  </si>
  <si>
    <t>I think the next big frontier for all of this work is figuring out how to reach and educate the majority of the population who do not already interact with the scientific community - and many people who already do. I work with researchers at FWRI who are not familiar with the reason behind fertilizer bans, who think that perfectly clear water and white sterile sand are the healthiest ecosystems for marine wildlife, and that seawalls are the safest way to prevent erosion and flooding. The level of local marine/bay education regarding the topics in this survey is even lower amongst my neighbors and non-science friends. 
I'm not sure how to best reach the general public, but I can attest that many/most are eager to learn how to help. I'm in a crochet club, and about 2/3rds of the older women in the group said that they hand-wash their dishes to conserve water "for the manatees and fish." When I showed them resources about dishwashers actually using less water than handwashing, they were all appalled at their misconception and eager to start using their dishwashers. We had a similar conversation regarding drip-line irrigation vs. hose watering by hand, fertilizer use in summer, and how to identify sustainable seafood options. Most people that I speak to are eager to learn and help, but they don't know where to find the information - or are bombarded by mis-information via viral click-bait/AI posts on facebook. I did see y'alls fertilizer info on the side of a bus last week (I think that was from TBEP) and thought it was great! 
I will suggest that figuring out how to get your information/education to the top of google/bing results from local searches would be helpful. I've recently discovered that most people I am around don't include "in Florida" or "in St. Pete FL" in their google searches, so they get irrelevant information regarding native plants or best water practices from other parts of the country/world. And even when I do a search for "are seawalls good Tampa", I get mixed answers and TBEP is nowhere in the top results. However, I know the bigger question is how do we get people to even think about whether or not seawalls are good - and other than an often-repeated local news story, I'm not sure how to do that.</t>
  </si>
  <si>
    <t>awareness; misinformation</t>
  </si>
  <si>
    <t>education; communication; online presence</t>
  </si>
  <si>
    <t>Goal(s)</t>
  </si>
  <si>
    <t>Informed, engaged, and responsible community</t>
  </si>
  <si>
    <t>Other</t>
  </si>
  <si>
    <t>Clean waters and sediments</t>
  </si>
  <si>
    <t>Thriving habitats and abundant wildlife; Informed, engaged, and responsible community</t>
  </si>
  <si>
    <t>Thriving habitats and abundant wildlife</t>
  </si>
  <si>
    <t>Clean waters and sediments; Thriving habitats and abundant wildlife</t>
  </si>
  <si>
    <t>Clean waters and sediments; Other</t>
  </si>
  <si>
    <t>Informed, engaged, and responsible community; Other</t>
  </si>
  <si>
    <t>Clean waters and sediments; Informed, engaged, and responsible community</t>
  </si>
  <si>
    <t>Thriving habitats and abundant wildlife; Other</t>
  </si>
  <si>
    <t>Clean waters and sediments; Thriving habitats and abundant wildlife; Informed, engaged, and responsible community</t>
  </si>
  <si>
    <t/>
  </si>
  <si>
    <t>Goal - Theme - Subtheme</t>
  </si>
  <si>
    <t>Clean waters and sediments - Air quality</t>
  </si>
  <si>
    <t>Clean waters and sediments - Air quality; Clean waters and sediments - Water quality</t>
  </si>
  <si>
    <t>Clean waters and sediments - Air quality; Informed, engaged, and responsible community - Climate change - Sustainability</t>
  </si>
  <si>
    <t>Clean waters and sediments - Water conservation</t>
  </si>
  <si>
    <t>Clean waters and sediments - Water conservation - Water supply</t>
  </si>
  <si>
    <t>Clean waters and sediments - Water conservation - Water supply; Clean waters and sediments - Water quality; Thriving habitats and abundant wildlife - Habitats - Habitat availability; Informed, engaged, and responsible community - Climate change - Resilience</t>
  </si>
  <si>
    <t>Clean waters and sediments - Water conservation - Water supply; Informed, engaged, and responsible community - Climate change - Resilience</t>
  </si>
  <si>
    <t>Clean waters and sediments - Water conservation - Water supply; Informed, engaged, and responsible community - Stewardship - Accountability</t>
  </si>
  <si>
    <t>Clean waters and sediments - Water conservation - Water supply; Thriving habitats and abundant wildlife - Land use - Development</t>
  </si>
  <si>
    <t>Clean waters and sediments - Water conservation - Water supply; Thriving habitats and abundant wildlife - Land use - Development; Informed, engaged, and responsible community - Climate change - Resilience</t>
  </si>
  <si>
    <t>Clean waters and sediments - Water conservation - Water use</t>
  </si>
  <si>
    <t>Clean waters and sediments - Water quality</t>
  </si>
  <si>
    <t>Clean waters and sediments - Water quality - Drinking water</t>
  </si>
  <si>
    <t>Clean waters and sediments - Water quality - Drinking water; Clean waters and sediments - Water conservation - Water supply</t>
  </si>
  <si>
    <t>Clean waters and sediments - Water quality - Drinking water; Clean waters and sediments - Water quality</t>
  </si>
  <si>
    <t>Clean waters and sediments - Water quality - Nutrients</t>
  </si>
  <si>
    <t>Clean waters and sediments - Water quality - Nutrients; Clean waters and sediments - Water conservation - Water use</t>
  </si>
  <si>
    <t>Clean waters and sediments - Water quality - Nutrients; Clean waters and sediments - Water quality - Stormwater; Informed, engaged, and responsible community - Governance - Regulation</t>
  </si>
  <si>
    <t>Clean waters and sediments - Water quality - Nutrients; Informed, engaged, and responsible community - Engagement - Education</t>
  </si>
  <si>
    <t>Clean waters and sediments - Water quality - Nutrients; Informed, engaged, and responsible community - Well-being - Safety; Informed, engaged, and responsible community - Climate change - Resilience; Thriving habitats and abundant wildlife - Land use - Development; Thriving habitats and abundant wildlife - Habitats - Habitat degradation; Thriving habitats and abundant wildlife - Habitats - Habitat availability</t>
  </si>
  <si>
    <t>Clean waters and sediments - Water quality - Stormwater</t>
  </si>
  <si>
    <t>Clean waters and sediments - Water quality - Stormwater; Clean waters and sediments - Water quality</t>
  </si>
  <si>
    <t>Clean waters and sediments - Water quality - Stormwater; Clean waters and sediments - Water quality - Nutrients; Informed, engaged, and responsible community - Governance - Regulation</t>
  </si>
  <si>
    <t>Clean waters and sediments - Water quality - Stormwater; Clean waters and sediments - Water quality; Thriving habitats and abundant wildlife - Land use - Development; Informed, engaged, and responsible community - Well-being - Safety; Informed, engaged, and responsible community - Governance</t>
  </si>
  <si>
    <t>Clean waters and sediments - Water quality - Stormwater; Informed, engaged, and responsible community - Stewardship - Accountability</t>
  </si>
  <si>
    <t>Clean waters and sediments - Water quality - Stormwater; Thriving habitats and abundant wildlife - Habitats - Habitat loss; Clean waters and sediments - Water quality - Trash</t>
  </si>
  <si>
    <t>Clean waters and sediments - Water quality - Trash</t>
  </si>
  <si>
    <t>Clean waters and sediments - Water quality - Trash; Clean waters and sediments - Air quality</t>
  </si>
  <si>
    <t>Clean waters and sediments - Water quality - Trash; Clean waters and sediments - Water quality</t>
  </si>
  <si>
    <t>Clean waters and sediments - Water quality - Trash; Clean waters and sediments - Water quality - Stormwater</t>
  </si>
  <si>
    <t>Clean waters and sediments - Water quality - Trash; Clean waters and sediments - Water quality - Stormwater; Thriving habitats and abundant wildlife - Wildlife</t>
  </si>
  <si>
    <t>Clean waters and sediments - Water quality - Trash; Clean waters and sediments - Water quality; Informed, engaged, and responsible community - Engagement - Involvement</t>
  </si>
  <si>
    <t>Clean waters and sediments - Water quality - Trash; Informed, engaged, and responsible community - Engagement - Education</t>
  </si>
  <si>
    <t>Clean waters and sediments - Water quality - Trash; Informed, engaged, and responsible community - Engagement - Education; Informed, engaged, and responsible community - Stewardship - Accountability</t>
  </si>
  <si>
    <t>Clean waters and sediments - Water quality - Trash; Informed, engaged, and responsible community - Engagement - Involvement</t>
  </si>
  <si>
    <t>Clean waters and sediments - Water quality - Trash; Informed, engaged, and responsible community - Governance - Enforcement</t>
  </si>
  <si>
    <t>Clean waters and sediments - Water quality - Trash; Informed, engaged, and responsible community - Stewardship - Accountability</t>
  </si>
  <si>
    <t>Clean waters and sediments - Water quality - Trash; Informed, engaged, and responsible community - Well-being - Safety</t>
  </si>
  <si>
    <t>Clean waters and sediments - Water quality - Trash; Informed, engaged, and responsible community - Well-being - Safety; Thriving habitats and abundant wildlife - Habitats</t>
  </si>
  <si>
    <t>Clean waters and sediments - Water quality - Trash; Other</t>
  </si>
  <si>
    <t>Clean waters and sediments - Water quality - Trash; Thriving habitats and abundant wildlife - Habitats - Habitat degradation; Informed, engaged, and responsible community - Climate change - Resilience</t>
  </si>
  <si>
    <t>Clean waters and sediments - Water quality - Trash; Thriving habitats and abundant wildlife - Habitats - Habitat degradation; Thriving habitats and abundant wildlife - Wildlife</t>
  </si>
  <si>
    <t>Clean waters and sediments - Water quality - Trash; Thriving habitats and abundant wildlife - Land use - Development; Informed, engaged, and responsible community - Recreation - Accessibility; Informed, engaged, and responsible community - Stewardship - Accountability</t>
  </si>
  <si>
    <t>Clean waters and sediments - Water quality - Trash; Thriving habitats and abundant wildlife - Wildlife</t>
  </si>
  <si>
    <t>Clean waters and sediments - Water quality - Trash; Thriving habitats and abundant wildlife - Wildlife - Wildlife loss/safety</t>
  </si>
  <si>
    <t>Clean waters and sediments - Water quality - Trash; Thriving habitats and abundant wildlife - Wildlife - Wildlife loss/safety; Informed, engaged, and responsible community - Engagement - Education; Informed, engaged, and responsible community - Engagement - Involvement</t>
  </si>
  <si>
    <t>Clean waters and sediments - Water quality; Clean waters and sediments - Water conservation - Water use; Other</t>
  </si>
  <si>
    <t>Clean waters and sediments - Water quality; Clean waters and sediments - Water quality - Stormwater; Clean waters and sediments - Water quality - Trash; Thriving habitats and abundant wildlife - Habitats - Habitat degradation</t>
  </si>
  <si>
    <t>Clean waters and sediments - Water quality; Clean waters and sediments - Water quality - Stormwater; Thriving habitats and abundant wildlife - Habitats; Thriving habitats and abundant wildlife - Wildlife; Informed, engaged, and responsible community - Climate change - Resilience; Thriving habitats and abundant wildlife - Land use - Development; Informed, engaged, and responsible community - Engagement - Education</t>
  </si>
  <si>
    <t>Clean waters and sediments - Water quality; Clean waters and sediments - Water quality - Stormwater; Thriving habitats and abundant wildlife - Land use - Development; Informed, engaged, and responsible community - Governance - Funding; Informed, engaged, and responsible community - Governance - Regulation</t>
  </si>
  <si>
    <t>Clean waters and sediments - Water quality; Clean waters and sediments - Water quality - Trash</t>
  </si>
  <si>
    <t>Clean waters and sediments - Water quality; Clean waters and sediments - Water quality - Trash; Clean waters and sediments - Air quality</t>
  </si>
  <si>
    <t>Clean waters and sediments - Water quality; Clean waters and sediments - Water quality - Trash; Thriving habitats and abundant wildlife - Habitats; Thriving habitats and abundant wildlife - Wildlife</t>
  </si>
  <si>
    <t>Clean waters and sediments - Water quality; Clean waters and sediments - Water quality - Trash; Thriving habitats and abundant wildlife - Wildlife - Wildlife loss/safety</t>
  </si>
  <si>
    <t>Clean waters and sediments - Water quality; Informed, engaged, and responsible community - Climate change - Resilience</t>
  </si>
  <si>
    <t>Clean waters and sediments - Water quality; Informed, engaged, and responsible community - Engagement - Education</t>
  </si>
  <si>
    <t>Clean waters and sediments - Water quality; Informed, engaged, and responsible community - Governance - Regulation; Informed, engaged, and responsible community - Stewardship - Accountability</t>
  </si>
  <si>
    <t>Clean waters and sediments - Water quality; Informed, engaged, and responsible community - Stewardship - Accountability</t>
  </si>
  <si>
    <t>Clean waters and sediments - Water quality; Informed, engaged, and responsible community - Stewardship - Accountability; Informed, engaged, and responsible community - Governance - Funding; Informed, engaged, and responsible community - Engagement - Involvement</t>
  </si>
  <si>
    <t>Clean waters and sediments - Water quality; Informed, engaged, and responsible community - Well-being - Safety</t>
  </si>
  <si>
    <t>Clean waters and sediments - Water quality; Informed, engaged, and responsible community - Well-being - Safety; Informed, engaged, and responsible community - Engagement - Education</t>
  </si>
  <si>
    <t>Clean waters and sediments - Water quality; Informed, engaged, and responsible community - Well-being - Safety; Informed, engaged, and responsible community - Governance - Enforcement; Thriving habitats and abundant wildlife - Habitats - Habitat loss; Thriving habitats and abundant wildlife - Habitats - Habitat degradation; Thriving habitats and abundant wildlife - Land use - Development</t>
  </si>
  <si>
    <t>Clean waters and sediments - Water quality; Thriving habitats and abundant wildlife - Habitats - Habitat degradation</t>
  </si>
  <si>
    <t>Clean waters and sediments - Water quality; Thriving habitats and abundant wildlife - Land use</t>
  </si>
  <si>
    <t>Clean waters and sediments - Water quality; Thriving habitats and abundant wildlife - Wildlife</t>
  </si>
  <si>
    <t>Clean waters and sediments - Water quality; Thriving habitats and abundant wildlife - Wildlife - Wildlife loss/safety</t>
  </si>
  <si>
    <t>Clean waters and sediments - Water quality; Thriving habitats and abundant wildlife - Wildlife - Wildlife loss/safety; Informed, engaged, and responsible community - Well-being - Safety</t>
  </si>
  <si>
    <t>Clean waters and sediments; Thriving habitats and abundant wildlife - Habitats - Habitat degradation; Informed, engaged, and responsible community - Engagement - Involvement</t>
  </si>
  <si>
    <t>Clean waters and sediments; Thriving habitats and abundant wildlife - Wildlife</t>
  </si>
  <si>
    <t>Informed, engaged, and responsible community - Climate change</t>
  </si>
  <si>
    <t>Informed, engaged, and responsible community - Climate change - Resilience</t>
  </si>
  <si>
    <t>Informed, engaged, and responsible community - Climate change - Resilience; Clean waters and sediments - Water conservation - Water use</t>
  </si>
  <si>
    <t>Informed, engaged, and responsible community - Climate change - Resilience; Clean waters and sediments - Water quality - Nutrients; Clean waters and sediments - Water quality - Stormwater; Thriving habitats and abundant wildlife - Habitats - Habitat loss; Thriving habitats and abundant wildlife - Habitats - Habitat availability; Thriving habitats and abundant wildlife - Wildlife; Informed, engaged, and responsible community - Governance; Informed, engaged, and responsible community - Governance - Regulation</t>
  </si>
  <si>
    <t>Informed, engaged, and responsible community - Climate change - Resilience; Informed, engaged, and responsible community - Well-being - Safety</t>
  </si>
  <si>
    <t>Informed, engaged, and responsible community - Climate change - Resilience; Informed, engaged, and responsible community - Well-being - Safety; Other</t>
  </si>
  <si>
    <t>Informed, engaged, and responsible community - Climate change - Resilience; Thriving habitats and abundant wildlife - Habitats</t>
  </si>
  <si>
    <t>Informed, engaged, and responsible community - Climate change - Resilience; Thriving habitats and abundant wildlife - Habitats - Habitat availability; Thriving habitats and abundant wildlife - Habitats - Habitat degradation; Informed, engaged, and responsible community - Governance - Funding; Clean waters and sediments - Water quality - Nutrients; Clean waters and sediments - Water conservation - Water use; Thriving habitats and abundant wildlife - Land use - Development; Informed, engaged, and responsible community - Stewardship - Accountability</t>
  </si>
  <si>
    <t>Informed, engaged, and responsible community - Climate change - Resilience; Thriving habitats and abundant wildlife - Habitats - Habitat loss; Clean waters and sediments - Water quality; Thriving habitats and abundant wildlife - Wildlife</t>
  </si>
  <si>
    <t>Informed, engaged, and responsible community - Climate change - Sustainability</t>
  </si>
  <si>
    <t>Informed, engaged, and responsible community - Engagement - Education</t>
  </si>
  <si>
    <t>Informed, engaged, and responsible community - Engagement - Education; Clean waters and sediments - Water quality - Trash</t>
  </si>
  <si>
    <t>Informed, engaged, and responsible community - Engagement - Education; Informed, engaged, and responsible community - Climate change - Sustainability</t>
  </si>
  <si>
    <t>Informed, engaged, and responsible community - Engagement - Education; Informed, engaged, and responsible community - Engagement - Involvement</t>
  </si>
  <si>
    <t>Informed, engaged, and responsible community - Engagement - Education; Informed, engaged, and responsible community - Engagement - Involvement; Informed, engaged, and responsible community - Governance - Funding; Thriving habitats and abundant wildlife - Habitats</t>
  </si>
  <si>
    <t>Informed, engaged, and responsible community - Engagement - Education; Informed, engaged, and responsible community - Governance - Enforcement; Informed, engaged, and responsible community - Stewardship - Compliance</t>
  </si>
  <si>
    <t>Informed, engaged, and responsible community - Engagement - Involvement</t>
  </si>
  <si>
    <t>Informed, engaged, and responsible community - Engagement - Involvement; Informed, engaged, and responsible community - Engagement - Education</t>
  </si>
  <si>
    <t>Informed, engaged, and responsible community - Governance</t>
  </si>
  <si>
    <t>Informed, engaged, and responsible community - Governance - Funding</t>
  </si>
  <si>
    <t>Informed, engaged, and responsible community - Governance - Political influence</t>
  </si>
  <si>
    <t>Informed, engaged, and responsible community - Governance - Political influence; Informed, engaged, and responsible community - Engagement - Education; Thriving habitats and abundant wildlife - Habitats - Habitat loss; Informed, engaged, and responsible community - Climate change - Resilience</t>
  </si>
  <si>
    <t>Informed, engaged, and responsible community - Governance - Political influence; Thriving habitats and abundant wildlife - Land use - Development</t>
  </si>
  <si>
    <t>Informed, engaged, and responsible community - Governance - Regulation; Informed, engaged, and responsible community - Governance - Enforcement; Informed, engaged, and responsible community - Recreation - Accessibility</t>
  </si>
  <si>
    <t>Informed, engaged, and responsible community - Governance - Regulation; Thriving habitats and abundant wildlife - Habitats - Habitat degradation</t>
  </si>
  <si>
    <t>Informed, engaged, and responsible community - Recreation - Accessibility</t>
  </si>
  <si>
    <t>Informed, engaged, and responsible community - Recreation - Accessibility; Informed, engaged, and responsible community - Engagement - Education; Informed, engaged, and responsible community - Engagement - Involvement</t>
  </si>
  <si>
    <t>Informed, engaged, and responsible community - Recreation - Accessibility; Thriving habitats and abundant wildlife - Land use - Development</t>
  </si>
  <si>
    <t>Informed, engaged, and responsible community - Recreation - Availability</t>
  </si>
  <si>
    <t>Informed, engaged, and responsible community - Recreation - Availability; Informed, engaged, and responsible community - Engagement - Education</t>
  </si>
  <si>
    <t>Informed, engaged, and responsible community - Recreation - Availability; Informed, engaged, and responsible community - Engagement - Involvement</t>
  </si>
  <si>
    <t>Informed, engaged, and responsible community - Recreation - Availability; Informed, engaged, and responsible community - Recreation - Accessibility</t>
  </si>
  <si>
    <t>Informed, engaged, and responsible community - Recreation - Availability; Informed, engaged, and responsible community - Well-being - Safety</t>
  </si>
  <si>
    <t>Informed, engaged, and responsible community - Stewardship - Accountability</t>
  </si>
  <si>
    <t>Informed, engaged, and responsible community - Stewardship - Accountability; Clean waters and sediments - Water quality; Thriving habitats and abundant wildlife - Habitats - Habitat degradation; Clean waters and sediments - Water conservation - Water use; Clean waters and sediments - Water quality - Trash; Informed, engaged, and responsible community - Engagement - Education</t>
  </si>
  <si>
    <t>Informed, engaged, and responsible community - Well-being - Mental health</t>
  </si>
  <si>
    <t>Informed, engaged, and responsible community - Well-being - Safety; Informed, engaged, and responsible community - Governance - Enforcement</t>
  </si>
  <si>
    <t>Informed, engaged, and responsible community - Well-being - Safety; Thriving habitats and abundant wildlife - Wildlife - Wildlife loss/safety</t>
  </si>
  <si>
    <t>Other; Clean waters and sediments - Air quality</t>
  </si>
  <si>
    <t>Other; Thriving habitats and abundant wildlife - Land use - Development</t>
  </si>
  <si>
    <t>Thriving habitats and abundant wildlife - Habitats</t>
  </si>
  <si>
    <t>Thriving habitats and abundant wildlife - Habitats - Habitat availability</t>
  </si>
  <si>
    <t>Thriving habitats and abundant wildlife - Habitats - Habitat availability; Thriving habitats and abundant wildlife - Land use - Development; Thriving habitats and abundant wildlife - Wildlife</t>
  </si>
  <si>
    <t>Thriving habitats and abundant wildlife - Habitats - Habitat availability; Thriving habitats and abundant wildlife - Wildlife</t>
  </si>
  <si>
    <t>Thriving habitats and abundant wildlife - Habitats - Habitat availability; Thriving habitats and abundant wildlife - Wildlife - Wildlife displacement; Thriving habitats and abundant wildlife - Land use - Development</t>
  </si>
  <si>
    <t>Thriving habitats and abundant wildlife - Habitats - Habitat availability; Thriving habitats and abundant wildlife - Wildlife; Thriving habitats and abundant wildlife - Land use - Development</t>
  </si>
  <si>
    <t>Thriving habitats and abundant wildlife - Habitats - Habitat degradation</t>
  </si>
  <si>
    <t>Thriving habitats and abundant wildlife - Habitats - Habitat degradation; Informed, engaged, and responsible community - Climate change - Resilience</t>
  </si>
  <si>
    <t>Thriving habitats and abundant wildlife - Habitats - Habitat degradation; Informed, engaged, and responsible community - Climate change - Resilience; Informed, engaged, and responsible community - Engagement - Education</t>
  </si>
  <si>
    <t>Thriving habitats and abundant wildlife - Habitats - Habitat degradation; Informed, engaged, and responsible community - Climate change - Resilience; Thriving habitats and abundant wildlife - Wildlife; Informed, engaged, and responsible community - Well-being - Safety; Informed, engaged, and responsible community - Engagement - Involvement</t>
  </si>
  <si>
    <t>Thriving habitats and abundant wildlife - Habitats - Habitat degradation; Informed, engaged, and responsible community - Engagement - Involvement</t>
  </si>
  <si>
    <t>Thriving habitats and abundant wildlife - Habitats - Habitat degradation; Informed, engaged, and responsible community - Governance - Funding; Informed, engaged, and responsible community - Governance - Regulation</t>
  </si>
  <si>
    <t>Thriving habitats and abundant wildlife - Habitats - Habitat degradation; Informed, engaged, and responsible community - Stewardship - Accountability</t>
  </si>
  <si>
    <t>Thriving habitats and abundant wildlife - Habitats - Habitat degradation; Thriving habitats and abundant wildlife - Habitats - Habitat loss; Informed, engaged, and responsible community - Climate change - Resilience</t>
  </si>
  <si>
    <t>Thriving habitats and abundant wildlife - Habitats - Habitat degradation; Thriving habitats and abundant wildlife - Habitats - Habitat loss; Thriving habitats and abundant wildlife - Land use - Development</t>
  </si>
  <si>
    <t>Thriving habitats and abundant wildlife - Habitats - Habitat loss; Thriving habitats and abundant wildlife - Land use - Development</t>
  </si>
  <si>
    <t>Thriving habitats and abundant wildlife - Habitats - Habitat loss; Thriving habitats and abundant wildlife - Land use - Development; Thriving habitats and abundant wildlife - Wildlife</t>
  </si>
  <si>
    <t>Thriving habitats and abundant wildlife - Habitats - Habitat loss; Thriving habitats and abundant wildlife - Wildlife</t>
  </si>
  <si>
    <t>Thriving habitats and abundant wildlife - Habitats - Habitat loss; Thriving habitats and abundant wildlife - Wildlife - Wildlife loss/safety; Informed, engaged, and responsible community - Governance - Regulation; Informed, engaged, and responsible community - Engagement - Involvement</t>
  </si>
  <si>
    <t>Thriving habitats and abundant wildlife - Habitats; Clean waters and sediments - Water quality - Trash</t>
  </si>
  <si>
    <t>Thriving habitats and abundant wildlife - Habitats; Thriving habitats and abundant wildlife - Wildlife; Clean waters and sediments - Water quality; Clean waters and sediments - Water quality - Trash; Informed, engaged, and responsible community - Engagement - Involvement</t>
  </si>
  <si>
    <t>Thriving habitats and abundant wildlife - Land use - Development</t>
  </si>
  <si>
    <t>Thriving habitats and abundant wildlife - Land use - Development; Clean waters and sediments - Water conservation - Water supply</t>
  </si>
  <si>
    <t>Thriving habitats and abundant wildlife - Land use - Development; Clean waters and sediments - Water conservation - Water use; Informed, engaged, and responsible community - Governance - Regulation</t>
  </si>
  <si>
    <t>Thriving habitats and abundant wildlife - Land use - Development; Clean waters and sediments - Water quality - Trash; Informed, engaged, and responsible community - Governance - Political influence</t>
  </si>
  <si>
    <t>Thriving habitats and abundant wildlife - Land use - Development; Informed, engaged, and responsible community - Governance - Political influence; Thriving habitats and abundant wildlife - Habitats - Habitat loss</t>
  </si>
  <si>
    <t>Thriving habitats and abundant wildlife - Land use - Development; Informed, engaged, and responsible community - Governance - Regulation; Thriving habitats and abundant wildlife - Wildlife</t>
  </si>
  <si>
    <t>Thriving habitats and abundant wildlife - Land use - Development; Thriving habitats and abundant wildlife - Habitats - Habitat availability; Informed, engaged, and responsible community - Governance - Regulation; Informed, engaged, and responsible community - Governance - Funding</t>
  </si>
  <si>
    <t>Thriving habitats and abundant wildlife - Land use - Development; Thriving habitats and abundant wildlife - Habitats - Habitat availability; Thriving habitats and abundant wildlife - Habitats - Habitat loss; Informed, engaged, and responsible community - Governance - Regulation</t>
  </si>
  <si>
    <t>Thriving habitats and abundant wildlife - Land use - Development; Thriving habitats and abundant wildlife - Habitats - Habitat degradation</t>
  </si>
  <si>
    <t>Thriving habitats and abundant wildlife - Land use - Development; Thriving habitats and abundant wildlife - Habitats - Habitat degradation; Thriving habitats and abundant wildlife - Wildlife - Wildlife displacement</t>
  </si>
  <si>
    <t>Thriving habitats and abundant wildlife - Land use - Development; Thriving habitats and abundant wildlife - Habitats - Habitat degradation; Thriving habitats and abundant wildlife - Wildlife - Wildlife loss/safety; Informed, engaged, and responsible community - Climate change - Resilience</t>
  </si>
  <si>
    <t>Thriving habitats and abundant wildlife - Land use - Development; Thriving habitats and abundant wildlife - Habitats - Habitat loss; Clean waters and sediments - Water quality - Nutrients; Clean waters and sediments - Water quality; Informed, engaged, and responsible community - Stewardship - Accountability</t>
  </si>
  <si>
    <t>Thriving habitats and abundant wildlife - Land use - Development; Thriving habitats and abundant wildlife - Habitats - Habitat loss; Informed, engaged, and responsible community - Governance - Political influence</t>
  </si>
  <si>
    <t>Thriving habitats and abundant wildlife - Land use - Development; Thriving habitats and abundant wildlife - Habitats - Habitat loss; Thriving habitats and abundant wildlife - Wildlife</t>
  </si>
  <si>
    <t>Thriving habitats and abundant wildlife - Land use - Development; Thriving habitats and abundant wildlife - Habitats - Habitat loss; Thriving habitats and abundant wildlife - Wildlife - Wildlife loss/safety</t>
  </si>
  <si>
    <t>Thriving habitats and abundant wildlife - Land use - Development; Thriving habitats and abundant wildlife - Habitats - Habitat loss; Thriving habitats and abundant wildlife - Wildlife - Wildlife loss/safety; Thriving habitats and abundant wildlife - Habitats - Habitat availability</t>
  </si>
  <si>
    <t>Thriving habitats and abundant wildlife - Land use - Development; Thriving habitats and abundant wildlife - Wildlife - Wildlife displacement; Informed, engaged, and responsible community - Engagement - Education</t>
  </si>
  <si>
    <t>Thriving habitats and abundant wildlife - Land use - Development; Thriving habitats and abundant wildlife - Wildlife - Wildlife displacement; Thriving habitats and abundant wildlife - Habitats - Habitat loss</t>
  </si>
  <si>
    <t>Thriving habitats and abundant wildlife - Land use - Development; Thriving habitats and abundant wildlife - Wildlife - Wildlife displacement; Thriving habitats and abundant wildlife - Wildlife - Wildlife loss/safety; Informed, engaged, and responsible community - Well-being - Safety; Clean waters and sediments - Air quality; Thriving habitats and abundant wildlife - Habitats - Habitat loss</t>
  </si>
  <si>
    <t>Thriving habitats and abundant wildlife - Land use - Development; Thriving habitats and abundant wildlife - Wildlife - Wildlife loss/safety</t>
  </si>
  <si>
    <t>Thriving habitats and abundant wildlife - Land use - Development; Thriving habitats and abundant wildlife - Wildlife - Wildlife loss/safety; Thriving habitats and abundant wildlife - Habitats - Habitat loss</t>
  </si>
  <si>
    <t>Thriving habitats and abundant wildlife - Land use - Development; Thriving habitats and abundant wildlife - Wildlife - Wildlife loss/safety; Thriving habitats and abundant wildlife - Wildlife - Wildlife displacement; Clean waters and sediments - Water conservation - Water supply; Informed, engaged, and responsible community - Governance - Enforcement; Informed, engaged, and responsible community - Stewardship - Accountability; Thriving habitats and abundant wildlife - Habitats - Habitat availability; Thriving habitats and abundant wildlife - Habitats - Habitat loss</t>
  </si>
  <si>
    <t>Thriving habitats and abundant wildlife - Wildlife</t>
  </si>
  <si>
    <t>Thriving habitats and abundant wildlife - Wildlife - Wildlife displacement; Thriving habitats and abundant wildlife - Land use - Development; Thriving habitats and abundant wildlife - Habitats - Habitat loss</t>
  </si>
  <si>
    <t>Thriving habitats and abundant wildlife - Wildlife - Wildlife loss/safety</t>
  </si>
  <si>
    <t>Thriving habitats and abundant wildlife - Wildlife - Wildlife loss/safety; Informed, engaged, and responsible community - Engagement - Education; Informed, engaged, and responsible community - Governance - Funding</t>
  </si>
  <si>
    <t>Thriving habitats and abundant wildlife - Wildlife - Wildlife loss/safety; Informed, engaged, and responsible community - Governance - Regulation</t>
  </si>
  <si>
    <t>Thriving habitats and abundant wildlife - Wildlife - Wildlife loss/safety; Thriving habitats and abundant wildlife - Habitats - Habitat availability</t>
  </si>
  <si>
    <t>Thriving habitats and abundant wildlife - Wildlife - Wildlife loss/safety; Thriving habitats and abundant wildlife - Habitats - Habitat degradation</t>
  </si>
  <si>
    <t>Thriving habitats and abundant wildlife - Wildlife - Wildlife loss/safety; Thriving habitats and abundant wildlife - Habitats - Habitat degradation; Informed, engaged, and responsible community - Engagement - Education; Informed, engaged, and responsible community - Stewardship - Compliance</t>
  </si>
  <si>
    <t>Thriving habitats and abundant wildlife - Wildlife - Wildlife loss/safety; Thriving habitats and abundant wildlife - Habitats - Habitat degradation; Informed, engaged, and responsible community - Governance - Enforcement</t>
  </si>
  <si>
    <t>Thriving habitats and abundant wildlife - Wildlife; Clean waters and sediments - Water quality</t>
  </si>
  <si>
    <t>Thriving habitats and abundant wildlife - Wildlife; Informed, engaged, and responsible community - Engagement - Education</t>
  </si>
  <si>
    <t>Thriving habitats and abundant wildlife - Wildlife; Informed, engaged, and responsible community - Engagement - Education; Informed, engaged, and responsible community - Engagement - Involvement</t>
  </si>
  <si>
    <t>Thriving habitats and abundant wildlife - Wildlife; Informed, engaged, and responsible community - Engagement - Involvement</t>
  </si>
  <si>
    <t>Thriving habitats and abundant wildlife - Wildlife; Informed, engaged, and responsible community - Recreation - Availability</t>
  </si>
  <si>
    <t>Thriving habitats and abundant wildlife - Wildlife; Informed, engaged, and responsible community - Stewardship - Accountability</t>
  </si>
  <si>
    <t>Thriving habitats and abundant wildlife - Wildlife; Thriving habitats and abundant wildlife - Habitats</t>
  </si>
  <si>
    <t>Issue(s)</t>
  </si>
  <si>
    <t>Action(s)</t>
  </si>
  <si>
    <t>Site-specific</t>
  </si>
  <si>
    <t>Goal</t>
  </si>
  <si>
    <t>Well-being</t>
  </si>
  <si>
    <t>Safety</t>
  </si>
  <si>
    <t>Climate change</t>
  </si>
  <si>
    <t>Resilience</t>
  </si>
  <si>
    <t>Air quality</t>
  </si>
  <si>
    <t>Water quality</t>
  </si>
  <si>
    <t>Trash</t>
  </si>
  <si>
    <t>Habitats</t>
  </si>
  <si>
    <t>Habitat degradation</t>
  </si>
  <si>
    <t>Stewardship</t>
  </si>
  <si>
    <t>Accountability</t>
  </si>
  <si>
    <t>Recreation</t>
  </si>
  <si>
    <t>Availability</t>
  </si>
  <si>
    <t>Stormwater</t>
  </si>
  <si>
    <t>Habitat availability</t>
  </si>
  <si>
    <t>Wildlife</t>
  </si>
  <si>
    <t>Sustainability</t>
  </si>
  <si>
    <t>Governance</t>
  </si>
  <si>
    <t>Political influence</t>
  </si>
  <si>
    <t>Land use</t>
  </si>
  <si>
    <t>Development</t>
  </si>
  <si>
    <t>Engagement</t>
  </si>
  <si>
    <t>Involvement</t>
  </si>
  <si>
    <t>Drinking water</t>
  </si>
  <si>
    <t>Water conservation</t>
  </si>
  <si>
    <t>Water supply</t>
  </si>
  <si>
    <t>Accessibility</t>
  </si>
  <si>
    <t>Education</t>
  </si>
  <si>
    <t>Regulation</t>
  </si>
  <si>
    <t>Funding</t>
  </si>
  <si>
    <t>Wildlife loss/safety</t>
  </si>
  <si>
    <t>Enforcement</t>
  </si>
  <si>
    <t>Habitat loss</t>
  </si>
  <si>
    <t>Water use</t>
  </si>
  <si>
    <t>Nutrients</t>
  </si>
  <si>
    <t>Wildlife displacement</t>
  </si>
  <si>
    <t>Compliance</t>
  </si>
  <si>
    <t>Theme</t>
  </si>
  <si>
    <t>Subtheme</t>
  </si>
  <si>
    <t>First Goal Mentioned</t>
  </si>
  <si>
    <t>First Theme Mentioned</t>
  </si>
  <si>
    <t>Coded responses (with at least one goal)</t>
  </si>
  <si>
    <t>Responses</t>
  </si>
  <si>
    <t>% of coded responses</t>
  </si>
  <si>
    <t>Code assignments</t>
  </si>
  <si>
    <t>Total code assignments</t>
  </si>
  <si>
    <t>(none)</t>
  </si>
  <si>
    <t>Percent of Responses</t>
  </si>
  <si>
    <t>Clean waters and sediments - Water quality - Trash; Thriving habitats and abundant wildlife - Habitats</t>
  </si>
  <si>
    <t>Thriving habitats and abundant wildlife - Land use - Development; Thriving habitats and abundant wildlife - Habitats</t>
  </si>
  <si>
    <t>Clean waters and sediments - Water quality; Thriving habitats and abundant wildlife - Habitats</t>
  </si>
  <si>
    <t>Clean waters and sediments - Water quality - Trash; Thriving habitats and abundant wildlife - Habitats; Informed, engaged, and responsible community - Governance - Enforcement</t>
  </si>
  <si>
    <t>Clean waters and sediments - Water quality; Clean waters and sediments - Water quality - Nutrients</t>
  </si>
  <si>
    <t>Thriving habitats and abundant wildlife - Habitats - Habitat loss; Thriving habitats and abundant wildlife - Habitats - Habitat degradation;  Clean waters and sediments - Water quality - Stormwater; Clean waters and sediments - Water quality</t>
  </si>
  <si>
    <t>Thriving habitats and abundant wildlife - Habitats - Habitat degradation; Informed, engaged, and responsible community - Governance - Regulation</t>
  </si>
  <si>
    <t>Clean waters and sediments - Water quality - Trash; Thriving habitats and abundant wildlife - Habitats; Thriving habitats and abundant wildlife - Wildlife</t>
  </si>
  <si>
    <t>Clean waters and sediments - Water quality - Nutrients; Informed, engaged, and responsible community - Stewardship - Accountability</t>
  </si>
  <si>
    <t>Clean waters and sediments - Water quality - Stormwater; Clean waters and sediments - Water quality - Nutrients</t>
  </si>
  <si>
    <t>Clean waters and sediments - Water quality - Nutrients; Informed, engaged, and responsible community - Governance - Funding</t>
  </si>
  <si>
    <t>Clean waters and sediments - Water quality - Stormwater; Clean waters and sediments - Water quality - Nutrients; Thriving habitats and abundant wildlife - Habitats - Habitat loss; Thriving habitats and abundant wildlife - Wildlife; Informed, engaged, and responsible community - Climate change - Resilience</t>
  </si>
  <si>
    <t>Clean waters and sediments - Water quality - Nutrients; Informed, engaged, and responsible community - Well-being - Safety; Thriving habitats and abundant wildlife - Wildlife - Wildlife loss/safety; Informed, engaged, and responsible community - Engagement - Education</t>
  </si>
  <si>
    <t>Responses left uncoded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</si>
</sst>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sz val="11"/>
      <name val="Aptos Narrow"/>
      <family val="2"/>
    </font>
    <font>
      <b/>
      <sz val="12"/>
      <name val="Aptos Narrow"/>
      <family val="2"/>
    </font>
    <font>
      <sz val="12"/>
      <name val="Aptos Narrow"/>
      <family val="2"/>
    </font>
    <font>
      <b/>
      <sz val="11"/>
      <color theme="1"/>
      <name val="Aptos Narrow"/>
      <scheme val="minor"/>
    </font>
  </fonts>
  <fills count="5">
    <fill>
      <patternFill patternType="none"/>
    </fill>
    <fill>
      <patternFill patternType="gray125"/>
    </fill>
    <fill>
      <patternFill patternType="solid">
        <fgColor rgb="FFD9E1F2"/>
        <bgColor rgb="FFF2F2F2"/>
      </patternFill>
    </fill>
    <fill>
      <patternFill patternType="solid">
        <fgColor rgb="FFF2F2F2"/>
        <bgColor rgb="FFFFFFCC"/>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3" fillId="0" borderId="0" xfId="0" applyFont="1"/>
    <xf numFmtId="0" fontId="3" fillId="2" borderId="0" xfId="0" applyFont="1" applyFill="1"/>
    <xf numFmtId="0" fontId="3" fillId="3" borderId="0" xfId="0" applyFont="1" applyFill="1"/>
    <xf numFmtId="0" fontId="0" fillId="3" borderId="0" xfId="0" applyFill="1"/>
    <xf numFmtId="164" fontId="3" fillId="3" borderId="0" xfId="0" applyNumberFormat="1" applyFont="1" applyFill="1"/>
    <xf numFmtId="0" fontId="4" fillId="0" borderId="0" xfId="0" applyFont="1"/>
    <xf numFmtId="0" fontId="3" fillId="4" borderId="0" xfId="0" applyFont="1" applyFill="1"/>
    <xf numFmtId="0" fontId="0" fillId="4" borderId="0" xfId="0" applyFill="1"/>
    <xf numFmtId="0" fontId="1" fillId="0" borderId="0" xfId="0" applyFont="1"/>
    <xf numFmtId="164" fontId="3" fillId="0" borderId="0" xfId="0" applyNumberFormat="1" applyFont="1"/>
    <xf numFmtId="0" fontId="0" fillId="0" borderId="0" xfId="0" applyAlignment="1"/>
    <xf numFmtId="0" fontId="5" fillId="0" borderId="0" xfId="0" applyFont="1" applyAlignme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ABCA7-3243-4B08-BC3F-3518514AE787}">
  <dimension ref="A1:G335"/>
  <sheetViews>
    <sheetView tabSelected="1" zoomScaleNormal="100" workbookViewId="0">
      <selection activeCell="A5" sqref="A5"/>
    </sheetView>
  </sheetViews>
  <sheetFormatPr baseColWidth="10" defaultColWidth="15.6640625" defaultRowHeight="15" x14ac:dyDescent="0.2"/>
  <cols>
    <col min="1" max="16384" width="15.6640625" style="12"/>
  </cols>
  <sheetData>
    <row r="1" spans="1:7" x14ac:dyDescent="0.2">
      <c r="A1" s="13" t="s">
        <v>0</v>
      </c>
      <c r="B1" s="13" t="s">
        <v>1</v>
      </c>
      <c r="C1" s="13" t="s">
        <v>1240</v>
      </c>
      <c r="D1" s="13" t="s">
        <v>1241</v>
      </c>
      <c r="E1" s="13" t="s">
        <v>1242</v>
      </c>
      <c r="F1" s="13" t="s">
        <v>1058</v>
      </c>
      <c r="G1" s="13" t="s">
        <v>1071</v>
      </c>
    </row>
    <row r="2" spans="1:7" x14ac:dyDescent="0.2">
      <c r="A2" s="12" t="s">
        <v>2</v>
      </c>
      <c r="B2" s="12" t="s">
        <v>3</v>
      </c>
      <c r="C2" s="12" t="s">
        <v>4</v>
      </c>
      <c r="E2" s="12">
        <v>0</v>
      </c>
      <c r="F2" s="12" t="s">
        <v>1060</v>
      </c>
      <c r="G2" s="12" t="s">
        <v>1060</v>
      </c>
    </row>
    <row r="3" spans="1:7" x14ac:dyDescent="0.2">
      <c r="A3" s="12" t="s">
        <v>5</v>
      </c>
      <c r="B3" s="12" t="s">
        <v>6</v>
      </c>
      <c r="C3" s="12" t="s">
        <v>7</v>
      </c>
      <c r="E3" s="12">
        <v>0</v>
      </c>
      <c r="F3" s="12" t="s">
        <v>1060</v>
      </c>
      <c r="G3" s="12" t="s">
        <v>1060</v>
      </c>
    </row>
    <row r="4" spans="1:7" x14ac:dyDescent="0.2">
      <c r="A4" s="12" t="s">
        <v>8</v>
      </c>
      <c r="B4" s="12" t="s">
        <v>9</v>
      </c>
      <c r="C4" s="12" t="s">
        <v>10</v>
      </c>
      <c r="E4" s="12">
        <v>0</v>
      </c>
      <c r="F4" s="12" t="s">
        <v>1059</v>
      </c>
      <c r="G4" s="12" t="s">
        <v>1142</v>
      </c>
    </row>
    <row r="5" spans="1:7" x14ac:dyDescent="0.2">
      <c r="A5" s="12" t="s">
        <v>11</v>
      </c>
      <c r="B5" s="12" t="s">
        <v>12</v>
      </c>
      <c r="C5" s="12" t="s">
        <v>13</v>
      </c>
      <c r="E5" s="12">
        <v>0</v>
      </c>
      <c r="F5" s="12" t="s">
        <v>1061</v>
      </c>
      <c r="G5" s="12" t="s">
        <v>1072</v>
      </c>
    </row>
    <row r="6" spans="1:7" x14ac:dyDescent="0.2">
      <c r="A6" s="12" t="s">
        <v>14</v>
      </c>
      <c r="B6" s="12" t="s">
        <v>15</v>
      </c>
      <c r="C6" s="12" t="s">
        <v>16</v>
      </c>
      <c r="E6" s="12">
        <v>0</v>
      </c>
      <c r="F6" s="12" t="s">
        <v>1060</v>
      </c>
      <c r="G6" s="12" t="s">
        <v>1060</v>
      </c>
    </row>
    <row r="7" spans="1:7" x14ac:dyDescent="0.2">
      <c r="A7" s="12" t="s">
        <v>17</v>
      </c>
      <c r="B7" s="12" t="s">
        <v>18</v>
      </c>
      <c r="C7" s="12" t="s">
        <v>19</v>
      </c>
      <c r="E7" s="12">
        <v>0</v>
      </c>
      <c r="F7" s="12" t="s">
        <v>1060</v>
      </c>
      <c r="G7" s="12" t="s">
        <v>1060</v>
      </c>
    </row>
    <row r="8" spans="1:7" x14ac:dyDescent="0.2">
      <c r="A8" s="12" t="s">
        <v>20</v>
      </c>
      <c r="B8" s="12" t="s">
        <v>21</v>
      </c>
      <c r="C8" s="12" t="s">
        <v>22</v>
      </c>
      <c r="E8" s="12">
        <v>0</v>
      </c>
      <c r="F8" s="12" t="s">
        <v>1059</v>
      </c>
      <c r="G8" s="12" t="s">
        <v>1176</v>
      </c>
    </row>
    <row r="9" spans="1:7" x14ac:dyDescent="0.2">
      <c r="A9" s="12" t="s">
        <v>23</v>
      </c>
      <c r="B9" s="12" t="s">
        <v>24</v>
      </c>
      <c r="C9" s="12" t="s">
        <v>25</v>
      </c>
      <c r="D9" s="12" t="s">
        <v>26</v>
      </c>
      <c r="E9" s="12">
        <v>0</v>
      </c>
      <c r="F9" s="12" t="s">
        <v>1061</v>
      </c>
      <c r="G9" s="12" t="s">
        <v>1098</v>
      </c>
    </row>
    <row r="10" spans="1:7" x14ac:dyDescent="0.2">
      <c r="A10" s="12" t="s">
        <v>27</v>
      </c>
      <c r="B10" s="12" t="s">
        <v>28</v>
      </c>
      <c r="C10" s="12" t="s">
        <v>29</v>
      </c>
      <c r="E10" s="12">
        <v>0</v>
      </c>
      <c r="F10" s="12" t="s">
        <v>1060</v>
      </c>
      <c r="G10" s="12" t="s">
        <v>1060</v>
      </c>
    </row>
    <row r="11" spans="1:7" x14ac:dyDescent="0.2">
      <c r="A11" s="12" t="s">
        <v>30</v>
      </c>
      <c r="B11" s="12" t="s">
        <v>31</v>
      </c>
      <c r="C11" s="12" t="s">
        <v>32</v>
      </c>
      <c r="D11" s="12" t="s">
        <v>33</v>
      </c>
      <c r="E11" s="12">
        <v>0</v>
      </c>
      <c r="F11" s="12" t="s">
        <v>1062</v>
      </c>
      <c r="G11" s="12" t="s">
        <v>1193</v>
      </c>
    </row>
    <row r="12" spans="1:7" x14ac:dyDescent="0.2">
      <c r="A12" s="12" t="s">
        <v>34</v>
      </c>
      <c r="B12" s="12" t="s">
        <v>35</v>
      </c>
      <c r="C12" s="12" t="s">
        <v>36</v>
      </c>
      <c r="D12" s="12" t="s">
        <v>37</v>
      </c>
      <c r="E12" s="12">
        <v>0</v>
      </c>
      <c r="F12" s="12" t="s">
        <v>1059</v>
      </c>
      <c r="G12" s="12" t="s">
        <v>1169</v>
      </c>
    </row>
    <row r="13" spans="1:7" x14ac:dyDescent="0.2">
      <c r="A13" s="12" t="s">
        <v>38</v>
      </c>
      <c r="B13" s="12" t="s">
        <v>39</v>
      </c>
      <c r="C13" s="12" t="s">
        <v>40</v>
      </c>
      <c r="E13" s="12">
        <v>0</v>
      </c>
      <c r="F13" s="12" t="s">
        <v>1061</v>
      </c>
      <c r="G13" s="12" t="s">
        <v>1083</v>
      </c>
    </row>
    <row r="14" spans="1:7" x14ac:dyDescent="0.2">
      <c r="A14" s="12" t="s">
        <v>41</v>
      </c>
      <c r="B14" s="12" t="s">
        <v>42</v>
      </c>
      <c r="C14" s="12" t="s">
        <v>43</v>
      </c>
      <c r="E14" s="12">
        <v>0</v>
      </c>
      <c r="F14" s="12" t="s">
        <v>1061</v>
      </c>
      <c r="G14" s="12" t="s">
        <v>1098</v>
      </c>
    </row>
    <row r="15" spans="1:7" x14ac:dyDescent="0.2">
      <c r="A15" s="12" t="s">
        <v>44</v>
      </c>
      <c r="B15" s="12" t="s">
        <v>45</v>
      </c>
      <c r="C15" s="12" t="s">
        <v>46</v>
      </c>
      <c r="E15" s="12">
        <v>0</v>
      </c>
      <c r="F15" s="12" t="s">
        <v>1061</v>
      </c>
      <c r="G15" s="12" t="s">
        <v>1092</v>
      </c>
    </row>
    <row r="16" spans="1:7" x14ac:dyDescent="0.2">
      <c r="A16" s="12" t="s">
        <v>47</v>
      </c>
      <c r="B16" s="12" t="s">
        <v>48</v>
      </c>
      <c r="C16" s="12" t="s">
        <v>49</v>
      </c>
      <c r="D16" s="12" t="s">
        <v>50</v>
      </c>
      <c r="E16" s="12">
        <v>0</v>
      </c>
      <c r="F16" s="12" t="s">
        <v>1063</v>
      </c>
      <c r="G16" s="12" t="s">
        <v>1184</v>
      </c>
    </row>
    <row r="17" spans="1:7" x14ac:dyDescent="0.2">
      <c r="A17" s="12" t="s">
        <v>51</v>
      </c>
      <c r="B17" s="12" t="s">
        <v>52</v>
      </c>
      <c r="C17" s="12" t="s">
        <v>53</v>
      </c>
      <c r="E17" s="12">
        <v>0</v>
      </c>
      <c r="F17" s="12" t="s">
        <v>1059</v>
      </c>
      <c r="G17" s="12" t="s">
        <v>1150</v>
      </c>
    </row>
    <row r="18" spans="1:7" x14ac:dyDescent="0.2">
      <c r="A18" s="12" t="s">
        <v>54</v>
      </c>
      <c r="B18" s="12" t="s">
        <v>55</v>
      </c>
      <c r="D18" s="12" t="s">
        <v>56</v>
      </c>
      <c r="E18" s="12">
        <v>0</v>
      </c>
      <c r="F18" s="12" t="s">
        <v>1059</v>
      </c>
      <c r="G18" s="12" t="s">
        <v>1161</v>
      </c>
    </row>
    <row r="19" spans="1:7" x14ac:dyDescent="0.2">
      <c r="A19" s="12" t="s">
        <v>57</v>
      </c>
      <c r="B19" s="12" t="s">
        <v>58</v>
      </c>
      <c r="C19" s="12" t="s">
        <v>59</v>
      </c>
      <c r="D19" s="12" t="s">
        <v>60</v>
      </c>
      <c r="E19" s="12">
        <v>0</v>
      </c>
      <c r="F19" s="12" t="s">
        <v>1063</v>
      </c>
      <c r="G19" s="12" t="s">
        <v>1202</v>
      </c>
    </row>
    <row r="20" spans="1:7" x14ac:dyDescent="0.2">
      <c r="A20" s="12" t="s">
        <v>61</v>
      </c>
      <c r="B20" s="12" t="s">
        <v>62</v>
      </c>
      <c r="E20" s="12">
        <v>0</v>
      </c>
      <c r="G20" s="12" t="s">
        <v>1070</v>
      </c>
    </row>
    <row r="21" spans="1:7" x14ac:dyDescent="0.2">
      <c r="A21" s="12" t="s">
        <v>63</v>
      </c>
      <c r="B21" s="12" t="s">
        <v>64</v>
      </c>
      <c r="C21" s="12" t="s">
        <v>25</v>
      </c>
      <c r="D21" s="12" t="s">
        <v>65</v>
      </c>
      <c r="E21" s="12">
        <v>0</v>
      </c>
      <c r="F21" s="12" t="s">
        <v>1061</v>
      </c>
      <c r="G21" s="12" t="s">
        <v>1098</v>
      </c>
    </row>
    <row r="22" spans="1:7" x14ac:dyDescent="0.2">
      <c r="A22" s="12" t="s">
        <v>66</v>
      </c>
      <c r="B22" s="12" t="s">
        <v>67</v>
      </c>
      <c r="D22" s="12" t="s">
        <v>68</v>
      </c>
      <c r="E22" s="12">
        <v>0</v>
      </c>
      <c r="F22" s="12" t="s">
        <v>1059</v>
      </c>
      <c r="G22" s="12" t="s">
        <v>1157</v>
      </c>
    </row>
    <row r="23" spans="1:7" x14ac:dyDescent="0.2">
      <c r="A23" s="12" t="s">
        <v>69</v>
      </c>
      <c r="B23" s="12" t="s">
        <v>70</v>
      </c>
      <c r="C23" s="12" t="s">
        <v>25</v>
      </c>
      <c r="D23" s="12" t="s">
        <v>26</v>
      </c>
      <c r="E23" s="12">
        <v>1</v>
      </c>
      <c r="F23" s="12" t="s">
        <v>1061</v>
      </c>
      <c r="G23" s="12" t="s">
        <v>1098</v>
      </c>
    </row>
    <row r="24" spans="1:7" x14ac:dyDescent="0.2">
      <c r="A24" s="12" t="s">
        <v>71</v>
      </c>
      <c r="B24" s="12" t="s">
        <v>72</v>
      </c>
      <c r="C24" s="12" t="s">
        <v>25</v>
      </c>
      <c r="D24" s="12" t="s">
        <v>26</v>
      </c>
      <c r="E24" s="12">
        <v>0</v>
      </c>
      <c r="F24" s="12" t="s">
        <v>1061</v>
      </c>
      <c r="G24" s="12" t="s">
        <v>1098</v>
      </c>
    </row>
    <row r="25" spans="1:7" x14ac:dyDescent="0.2">
      <c r="A25" s="12" t="s">
        <v>73</v>
      </c>
      <c r="B25" s="12" t="s">
        <v>74</v>
      </c>
      <c r="C25" s="12" t="s">
        <v>25</v>
      </c>
      <c r="E25" s="12">
        <v>0</v>
      </c>
      <c r="F25" s="12" t="s">
        <v>1061</v>
      </c>
      <c r="G25" s="12" t="s">
        <v>1098</v>
      </c>
    </row>
    <row r="26" spans="1:7" x14ac:dyDescent="0.2">
      <c r="A26" s="12" t="s">
        <v>75</v>
      </c>
      <c r="B26" s="12" t="s">
        <v>76</v>
      </c>
      <c r="C26" s="12" t="s">
        <v>77</v>
      </c>
      <c r="E26" s="12">
        <v>0</v>
      </c>
      <c r="F26" s="12" t="s">
        <v>1061</v>
      </c>
      <c r="G26" s="12" t="s">
        <v>1084</v>
      </c>
    </row>
    <row r="27" spans="1:7" x14ac:dyDescent="0.2">
      <c r="A27" s="12" t="s">
        <v>78</v>
      </c>
      <c r="B27" s="12" t="s">
        <v>79</v>
      </c>
      <c r="C27" s="12" t="s">
        <v>80</v>
      </c>
      <c r="E27" s="12">
        <v>0</v>
      </c>
      <c r="F27" s="12" t="s">
        <v>1063</v>
      </c>
      <c r="G27" s="12" t="s">
        <v>1181</v>
      </c>
    </row>
    <row r="28" spans="1:7" x14ac:dyDescent="0.2">
      <c r="A28" s="12" t="s">
        <v>81</v>
      </c>
      <c r="B28" s="12" t="s">
        <v>82</v>
      </c>
      <c r="C28" s="12" t="s">
        <v>83</v>
      </c>
      <c r="E28" s="12">
        <v>0</v>
      </c>
      <c r="F28" s="12" t="s">
        <v>1065</v>
      </c>
      <c r="G28" s="12" t="s">
        <v>1065</v>
      </c>
    </row>
    <row r="29" spans="1:7" x14ac:dyDescent="0.2">
      <c r="A29" s="12" t="s">
        <v>84</v>
      </c>
      <c r="B29" s="12" t="s">
        <v>85</v>
      </c>
      <c r="C29" s="12" t="s">
        <v>86</v>
      </c>
      <c r="D29" s="12" t="s">
        <v>60</v>
      </c>
      <c r="E29" s="12">
        <v>0</v>
      </c>
      <c r="F29" s="12" t="s">
        <v>1063</v>
      </c>
      <c r="G29" s="12" t="s">
        <v>1202</v>
      </c>
    </row>
    <row r="30" spans="1:7" x14ac:dyDescent="0.2">
      <c r="A30" s="12" t="s">
        <v>87</v>
      </c>
      <c r="B30" s="12" t="s">
        <v>88</v>
      </c>
      <c r="C30" s="12" t="s">
        <v>89</v>
      </c>
      <c r="E30" s="12">
        <v>0</v>
      </c>
      <c r="F30" s="12" t="s">
        <v>1063</v>
      </c>
      <c r="G30" s="12" t="s">
        <v>1224</v>
      </c>
    </row>
    <row r="31" spans="1:7" x14ac:dyDescent="0.2">
      <c r="A31" s="12" t="s">
        <v>90</v>
      </c>
      <c r="B31" s="12" t="s">
        <v>91</v>
      </c>
      <c r="C31" s="12" t="s">
        <v>92</v>
      </c>
      <c r="E31" s="12">
        <v>0</v>
      </c>
      <c r="F31" s="12" t="s">
        <v>1061</v>
      </c>
      <c r="G31" s="12" t="s">
        <v>1083</v>
      </c>
    </row>
    <row r="32" spans="1:7" x14ac:dyDescent="0.2">
      <c r="A32" s="12" t="s">
        <v>93</v>
      </c>
      <c r="B32" s="12" t="s">
        <v>94</v>
      </c>
      <c r="E32" s="12">
        <v>0</v>
      </c>
      <c r="G32" s="12" t="s">
        <v>1070</v>
      </c>
    </row>
    <row r="33" spans="1:7" x14ac:dyDescent="0.2">
      <c r="A33" s="12" t="s">
        <v>95</v>
      </c>
      <c r="B33" s="12" t="s">
        <v>96</v>
      </c>
      <c r="D33" s="12" t="s">
        <v>26</v>
      </c>
      <c r="E33" s="12">
        <v>0</v>
      </c>
      <c r="F33" s="12" t="s">
        <v>1061</v>
      </c>
      <c r="G33" s="12" t="s">
        <v>1098</v>
      </c>
    </row>
    <row r="34" spans="1:7" x14ac:dyDescent="0.2">
      <c r="A34" s="12" t="s">
        <v>97</v>
      </c>
      <c r="B34" s="12" t="s">
        <v>98</v>
      </c>
      <c r="C34" s="12" t="s">
        <v>99</v>
      </c>
      <c r="E34" s="12">
        <v>0</v>
      </c>
      <c r="F34" s="12" t="s">
        <v>1064</v>
      </c>
      <c r="G34" s="12" t="s">
        <v>1292</v>
      </c>
    </row>
    <row r="35" spans="1:7" x14ac:dyDescent="0.2">
      <c r="A35" s="12" t="s">
        <v>100</v>
      </c>
      <c r="B35" s="12" t="s">
        <v>101</v>
      </c>
      <c r="C35" s="12" t="s">
        <v>13</v>
      </c>
      <c r="E35" s="12">
        <v>0</v>
      </c>
      <c r="F35" s="12" t="s">
        <v>1061</v>
      </c>
      <c r="G35" s="12" t="s">
        <v>1072</v>
      </c>
    </row>
    <row r="36" spans="1:7" x14ac:dyDescent="0.2">
      <c r="A36" s="12" t="s">
        <v>102</v>
      </c>
      <c r="B36" s="12" t="s">
        <v>103</v>
      </c>
      <c r="C36" s="12" t="s">
        <v>25</v>
      </c>
      <c r="E36" s="12">
        <v>0</v>
      </c>
      <c r="F36" s="12" t="s">
        <v>1061</v>
      </c>
      <c r="G36" s="12" t="s">
        <v>1098</v>
      </c>
    </row>
    <row r="37" spans="1:7" x14ac:dyDescent="0.2">
      <c r="A37" s="12" t="s">
        <v>104</v>
      </c>
      <c r="B37" s="12" t="s">
        <v>105</v>
      </c>
      <c r="C37" s="12" t="s">
        <v>106</v>
      </c>
      <c r="E37" s="12">
        <v>0</v>
      </c>
      <c r="F37" s="12" t="s">
        <v>1064</v>
      </c>
      <c r="G37" s="12" t="s">
        <v>1080</v>
      </c>
    </row>
    <row r="38" spans="1:7" x14ac:dyDescent="0.2">
      <c r="A38" s="12" t="s">
        <v>107</v>
      </c>
      <c r="B38" s="12" t="s">
        <v>108</v>
      </c>
      <c r="C38" s="12" t="s">
        <v>19</v>
      </c>
      <c r="D38" s="12" t="s">
        <v>109</v>
      </c>
      <c r="E38" s="12">
        <v>0</v>
      </c>
      <c r="F38" s="12" t="s">
        <v>1060</v>
      </c>
      <c r="G38" s="12" t="s">
        <v>1060</v>
      </c>
    </row>
    <row r="39" spans="1:7" x14ac:dyDescent="0.2">
      <c r="A39" s="12" t="s">
        <v>110</v>
      </c>
      <c r="B39" s="12" t="s">
        <v>111</v>
      </c>
      <c r="C39" s="12" t="s">
        <v>112</v>
      </c>
      <c r="E39" s="12">
        <v>0</v>
      </c>
      <c r="F39" s="12" t="s">
        <v>1065</v>
      </c>
      <c r="G39" s="12" t="s">
        <v>1111</v>
      </c>
    </row>
    <row r="40" spans="1:7" x14ac:dyDescent="0.2">
      <c r="A40" s="12" t="s">
        <v>113</v>
      </c>
      <c r="B40" s="12" t="s">
        <v>114</v>
      </c>
      <c r="D40" s="12" t="s">
        <v>115</v>
      </c>
      <c r="E40" s="12">
        <v>0</v>
      </c>
      <c r="F40" s="12" t="s">
        <v>1059</v>
      </c>
      <c r="G40" s="12" t="s">
        <v>1169</v>
      </c>
    </row>
    <row r="41" spans="1:7" x14ac:dyDescent="0.2">
      <c r="A41" s="12" t="s">
        <v>116</v>
      </c>
      <c r="B41" s="12" t="s">
        <v>117</v>
      </c>
      <c r="C41" s="12" t="s">
        <v>118</v>
      </c>
      <c r="E41" s="12">
        <v>0</v>
      </c>
      <c r="F41" s="12" t="s">
        <v>1060</v>
      </c>
      <c r="G41" s="12" t="s">
        <v>1060</v>
      </c>
    </row>
    <row r="42" spans="1:7" x14ac:dyDescent="0.2">
      <c r="A42" s="12" t="s">
        <v>119</v>
      </c>
      <c r="B42" s="12" t="s">
        <v>120</v>
      </c>
      <c r="C42" s="12" t="s">
        <v>121</v>
      </c>
      <c r="D42" s="12" t="s">
        <v>60</v>
      </c>
      <c r="E42" s="12">
        <v>0</v>
      </c>
      <c r="F42" s="12" t="s">
        <v>1063</v>
      </c>
      <c r="G42" s="12" t="s">
        <v>1293</v>
      </c>
    </row>
    <row r="43" spans="1:7" x14ac:dyDescent="0.2">
      <c r="A43" s="12" t="s">
        <v>122</v>
      </c>
      <c r="B43" s="12" t="s">
        <v>123</v>
      </c>
      <c r="C43" s="12" t="s">
        <v>124</v>
      </c>
      <c r="D43" s="12" t="s">
        <v>125</v>
      </c>
      <c r="E43" s="12">
        <v>0</v>
      </c>
      <c r="F43" s="12" t="s">
        <v>1059</v>
      </c>
      <c r="G43" s="12" t="s">
        <v>1172</v>
      </c>
    </row>
    <row r="44" spans="1:7" x14ac:dyDescent="0.2">
      <c r="A44" s="12" t="s">
        <v>126</v>
      </c>
      <c r="B44" s="12" t="s">
        <v>127</v>
      </c>
      <c r="C44" s="12" t="s">
        <v>92</v>
      </c>
      <c r="D44" s="12" t="s">
        <v>26</v>
      </c>
      <c r="E44" s="12">
        <v>0</v>
      </c>
      <c r="F44" s="12" t="s">
        <v>1061</v>
      </c>
      <c r="G44" s="12" t="s">
        <v>1083</v>
      </c>
    </row>
    <row r="45" spans="1:7" x14ac:dyDescent="0.2">
      <c r="A45" s="12" t="s">
        <v>128</v>
      </c>
      <c r="B45" s="12" t="s">
        <v>129</v>
      </c>
      <c r="C45" s="12" t="s">
        <v>25</v>
      </c>
      <c r="E45" s="12">
        <v>0</v>
      </c>
      <c r="F45" s="12" t="s">
        <v>1061</v>
      </c>
      <c r="G45" s="12" t="s">
        <v>1098</v>
      </c>
    </row>
    <row r="46" spans="1:7" x14ac:dyDescent="0.2">
      <c r="A46" s="12" t="s">
        <v>130</v>
      </c>
      <c r="B46" s="12" t="s">
        <v>131</v>
      </c>
      <c r="C46" s="12" t="s">
        <v>4</v>
      </c>
      <c r="E46" s="12">
        <v>0</v>
      </c>
      <c r="F46" s="12" t="s">
        <v>1060</v>
      </c>
      <c r="G46" s="12" t="s">
        <v>1060</v>
      </c>
    </row>
    <row r="47" spans="1:7" x14ac:dyDescent="0.2">
      <c r="A47" s="12" t="s">
        <v>132</v>
      </c>
      <c r="B47" s="12" t="s">
        <v>133</v>
      </c>
      <c r="C47" s="12" t="s">
        <v>134</v>
      </c>
      <c r="D47" s="12" t="s">
        <v>135</v>
      </c>
      <c r="E47" s="12">
        <v>0</v>
      </c>
      <c r="F47" s="12" t="s">
        <v>1059</v>
      </c>
      <c r="G47" s="12" t="s">
        <v>1151</v>
      </c>
    </row>
    <row r="48" spans="1:7" x14ac:dyDescent="0.2">
      <c r="A48" s="12" t="s">
        <v>136</v>
      </c>
      <c r="B48" s="12" t="s">
        <v>137</v>
      </c>
      <c r="C48" s="12" t="s">
        <v>138</v>
      </c>
      <c r="E48" s="12">
        <v>0</v>
      </c>
      <c r="F48" s="12" t="s">
        <v>1060</v>
      </c>
      <c r="G48" s="12" t="s">
        <v>1060</v>
      </c>
    </row>
    <row r="49" spans="1:7" x14ac:dyDescent="0.2">
      <c r="A49" s="12" t="s">
        <v>139</v>
      </c>
      <c r="B49" s="12" t="s">
        <v>140</v>
      </c>
      <c r="C49" s="12" t="s">
        <v>99</v>
      </c>
      <c r="D49" s="12" t="s">
        <v>26</v>
      </c>
      <c r="E49" s="12">
        <v>0</v>
      </c>
      <c r="F49" s="12" t="s">
        <v>1064</v>
      </c>
      <c r="G49" s="12" t="s">
        <v>1292</v>
      </c>
    </row>
    <row r="50" spans="1:7" x14ac:dyDescent="0.2">
      <c r="A50" s="12" t="s">
        <v>141</v>
      </c>
      <c r="B50" s="12" t="s">
        <v>142</v>
      </c>
      <c r="C50" s="12" t="s">
        <v>143</v>
      </c>
      <c r="D50" s="12" t="s">
        <v>144</v>
      </c>
      <c r="E50" s="12">
        <v>0</v>
      </c>
      <c r="F50" s="12" t="s">
        <v>1059</v>
      </c>
      <c r="G50" s="12" t="s">
        <v>1169</v>
      </c>
    </row>
    <row r="51" spans="1:7" x14ac:dyDescent="0.2">
      <c r="A51" s="12" t="s">
        <v>145</v>
      </c>
      <c r="B51" s="12" t="s">
        <v>146</v>
      </c>
      <c r="C51" s="12" t="s">
        <v>147</v>
      </c>
      <c r="E51" s="12">
        <v>0</v>
      </c>
      <c r="F51" s="12" t="s">
        <v>1060</v>
      </c>
      <c r="G51" s="12" t="s">
        <v>1060</v>
      </c>
    </row>
    <row r="52" spans="1:7" x14ac:dyDescent="0.2">
      <c r="A52" s="12" t="s">
        <v>148</v>
      </c>
      <c r="B52" s="12" t="s">
        <v>149</v>
      </c>
      <c r="C52" s="12" t="s">
        <v>150</v>
      </c>
      <c r="E52" s="12">
        <v>0</v>
      </c>
      <c r="F52" s="12" t="s">
        <v>1064</v>
      </c>
      <c r="G52" s="12" t="s">
        <v>1136</v>
      </c>
    </row>
    <row r="53" spans="1:7" x14ac:dyDescent="0.2">
      <c r="A53" s="12" t="s">
        <v>151</v>
      </c>
      <c r="B53" s="12" t="s">
        <v>152</v>
      </c>
      <c r="C53" s="12" t="s">
        <v>153</v>
      </c>
      <c r="E53" s="12">
        <v>0</v>
      </c>
      <c r="F53" s="12" t="s">
        <v>1060</v>
      </c>
      <c r="G53" s="12" t="s">
        <v>1060</v>
      </c>
    </row>
    <row r="54" spans="1:7" x14ac:dyDescent="0.2">
      <c r="A54" s="12" t="s">
        <v>154</v>
      </c>
      <c r="B54" s="12" t="s">
        <v>155</v>
      </c>
      <c r="C54" s="12" t="s">
        <v>156</v>
      </c>
      <c r="D54" s="12" t="s">
        <v>157</v>
      </c>
      <c r="E54" s="12">
        <v>0</v>
      </c>
      <c r="F54" s="12" t="s">
        <v>1059</v>
      </c>
      <c r="G54" s="12" t="s">
        <v>1170</v>
      </c>
    </row>
    <row r="55" spans="1:7" x14ac:dyDescent="0.2">
      <c r="A55" s="12" t="s">
        <v>158</v>
      </c>
      <c r="B55" s="12" t="s">
        <v>159</v>
      </c>
      <c r="C55" s="12" t="s">
        <v>99</v>
      </c>
      <c r="E55" s="12">
        <v>0</v>
      </c>
      <c r="F55" s="12" t="s">
        <v>1064</v>
      </c>
      <c r="G55" s="12" t="s">
        <v>1292</v>
      </c>
    </row>
    <row r="56" spans="1:7" x14ac:dyDescent="0.2">
      <c r="A56" s="12" t="s">
        <v>160</v>
      </c>
      <c r="B56" s="12" t="s">
        <v>161</v>
      </c>
      <c r="C56" s="12" t="s">
        <v>86</v>
      </c>
      <c r="D56" s="12" t="s">
        <v>60</v>
      </c>
      <c r="E56" s="12">
        <v>0</v>
      </c>
      <c r="F56" s="12" t="s">
        <v>1063</v>
      </c>
      <c r="G56" s="12" t="s">
        <v>1202</v>
      </c>
    </row>
    <row r="57" spans="1:7" x14ac:dyDescent="0.2">
      <c r="A57" s="12" t="s">
        <v>162</v>
      </c>
      <c r="B57" s="12" t="s">
        <v>163</v>
      </c>
      <c r="C57" s="12" t="s">
        <v>164</v>
      </c>
      <c r="D57" s="12" t="s">
        <v>26</v>
      </c>
      <c r="E57" s="12">
        <v>0</v>
      </c>
      <c r="F57" s="12" t="s">
        <v>1061</v>
      </c>
      <c r="G57" s="12" t="s">
        <v>1098</v>
      </c>
    </row>
    <row r="58" spans="1:7" x14ac:dyDescent="0.2">
      <c r="A58" s="12" t="s">
        <v>165</v>
      </c>
      <c r="B58" s="12" t="s">
        <v>166</v>
      </c>
      <c r="C58" s="12" t="s">
        <v>167</v>
      </c>
      <c r="E58" s="12">
        <v>0</v>
      </c>
      <c r="F58" s="12" t="s">
        <v>1064</v>
      </c>
      <c r="G58" s="12" t="s">
        <v>1294</v>
      </c>
    </row>
    <row r="59" spans="1:7" x14ac:dyDescent="0.2">
      <c r="A59" s="12" t="s">
        <v>168</v>
      </c>
      <c r="B59" s="12" t="s">
        <v>169</v>
      </c>
      <c r="C59" s="12" t="s">
        <v>170</v>
      </c>
      <c r="D59" s="12" t="s">
        <v>171</v>
      </c>
      <c r="E59" s="12">
        <v>0</v>
      </c>
      <c r="F59" s="12" t="s">
        <v>1060</v>
      </c>
      <c r="G59" s="12" t="s">
        <v>1060</v>
      </c>
    </row>
    <row r="60" spans="1:7" x14ac:dyDescent="0.2">
      <c r="A60" s="12" t="s">
        <v>172</v>
      </c>
      <c r="B60" s="12" t="s">
        <v>173</v>
      </c>
      <c r="C60" s="12" t="s">
        <v>174</v>
      </c>
      <c r="E60" s="12">
        <v>0</v>
      </c>
      <c r="F60" s="12" t="s">
        <v>1061</v>
      </c>
      <c r="G60" s="12" t="s">
        <v>1083</v>
      </c>
    </row>
    <row r="61" spans="1:7" x14ac:dyDescent="0.2">
      <c r="A61" s="12" t="s">
        <v>175</v>
      </c>
      <c r="B61" s="12" t="s">
        <v>176</v>
      </c>
      <c r="C61" s="12" t="s">
        <v>177</v>
      </c>
      <c r="E61" s="12">
        <v>0</v>
      </c>
      <c r="F61" s="12" t="s">
        <v>1060</v>
      </c>
      <c r="G61" s="12" t="s">
        <v>1060</v>
      </c>
    </row>
    <row r="62" spans="1:7" x14ac:dyDescent="0.2">
      <c r="A62" s="12" t="s">
        <v>178</v>
      </c>
      <c r="B62" s="12" t="s">
        <v>179</v>
      </c>
      <c r="C62" s="12" t="s">
        <v>180</v>
      </c>
      <c r="D62" s="12" t="s">
        <v>181</v>
      </c>
      <c r="E62" s="12">
        <v>1</v>
      </c>
      <c r="F62" s="12" t="s">
        <v>1061</v>
      </c>
      <c r="G62" s="12" t="s">
        <v>1098</v>
      </c>
    </row>
    <row r="63" spans="1:7" x14ac:dyDescent="0.2">
      <c r="A63" s="12" t="s">
        <v>182</v>
      </c>
      <c r="B63" s="12" t="s">
        <v>183</v>
      </c>
      <c r="C63" s="12" t="s">
        <v>184</v>
      </c>
      <c r="D63" s="12" t="s">
        <v>185</v>
      </c>
      <c r="E63" s="12">
        <v>0</v>
      </c>
      <c r="F63" s="12" t="s">
        <v>1059</v>
      </c>
      <c r="G63" s="12" t="s">
        <v>1169</v>
      </c>
    </row>
    <row r="64" spans="1:7" x14ac:dyDescent="0.2">
      <c r="A64" s="12" t="s">
        <v>186</v>
      </c>
      <c r="B64" s="12" t="s">
        <v>187</v>
      </c>
      <c r="C64" s="12" t="s">
        <v>188</v>
      </c>
      <c r="E64" s="12">
        <v>0</v>
      </c>
      <c r="F64" s="12" t="s">
        <v>1059</v>
      </c>
      <c r="G64" s="12" t="s">
        <v>1160</v>
      </c>
    </row>
    <row r="65" spans="1:7" x14ac:dyDescent="0.2">
      <c r="A65" s="12" t="s">
        <v>189</v>
      </c>
      <c r="B65" s="12" t="s">
        <v>190</v>
      </c>
      <c r="E65" s="12">
        <v>0</v>
      </c>
      <c r="G65" s="12" t="s">
        <v>1070</v>
      </c>
    </row>
    <row r="66" spans="1:7" x14ac:dyDescent="0.2">
      <c r="A66" s="12" t="s">
        <v>191</v>
      </c>
      <c r="B66" s="12" t="s">
        <v>192</v>
      </c>
      <c r="C66" s="12" t="s">
        <v>193</v>
      </c>
      <c r="D66" s="12" t="s">
        <v>144</v>
      </c>
      <c r="E66" s="12">
        <v>0</v>
      </c>
      <c r="F66" s="12" t="s">
        <v>1060</v>
      </c>
      <c r="G66" s="12" t="s">
        <v>1060</v>
      </c>
    </row>
    <row r="67" spans="1:7" x14ac:dyDescent="0.2">
      <c r="A67" s="12" t="s">
        <v>194</v>
      </c>
      <c r="B67" s="12" t="s">
        <v>195</v>
      </c>
      <c r="C67" s="12" t="s">
        <v>196</v>
      </c>
      <c r="E67" s="12">
        <v>0</v>
      </c>
      <c r="F67" s="12" t="s">
        <v>1060</v>
      </c>
      <c r="G67" s="12" t="s">
        <v>1060</v>
      </c>
    </row>
    <row r="68" spans="1:7" x14ac:dyDescent="0.2">
      <c r="A68" s="12" t="s">
        <v>197</v>
      </c>
      <c r="B68" s="12" t="s">
        <v>198</v>
      </c>
      <c r="C68" s="12" t="s">
        <v>199</v>
      </c>
      <c r="E68" s="12">
        <v>0</v>
      </c>
      <c r="F68" s="12" t="s">
        <v>1060</v>
      </c>
      <c r="G68" s="12" t="s">
        <v>1060</v>
      </c>
    </row>
    <row r="69" spans="1:7" x14ac:dyDescent="0.2">
      <c r="A69" s="12" t="s">
        <v>200</v>
      </c>
      <c r="B69" s="12" t="s">
        <v>201</v>
      </c>
      <c r="C69" s="12" t="s">
        <v>202</v>
      </c>
      <c r="E69" s="12">
        <v>0</v>
      </c>
      <c r="F69" s="12" t="s">
        <v>1061</v>
      </c>
      <c r="G69" s="12" t="s">
        <v>1087</v>
      </c>
    </row>
    <row r="70" spans="1:7" x14ac:dyDescent="0.2">
      <c r="A70" s="12" t="s">
        <v>203</v>
      </c>
      <c r="B70" s="12" t="s">
        <v>204</v>
      </c>
      <c r="C70" s="12" t="s">
        <v>13</v>
      </c>
      <c r="D70" s="12" t="s">
        <v>205</v>
      </c>
      <c r="E70" s="12">
        <v>0</v>
      </c>
      <c r="F70" s="12" t="s">
        <v>1067</v>
      </c>
      <c r="G70" s="12" t="s">
        <v>1074</v>
      </c>
    </row>
    <row r="71" spans="1:7" x14ac:dyDescent="0.2">
      <c r="A71" s="12" t="s">
        <v>206</v>
      </c>
      <c r="B71" s="12" t="s">
        <v>207</v>
      </c>
      <c r="C71" s="12" t="s">
        <v>208</v>
      </c>
      <c r="E71" s="12">
        <v>0</v>
      </c>
      <c r="F71" s="12" t="s">
        <v>1062</v>
      </c>
      <c r="G71" s="12" t="s">
        <v>1178</v>
      </c>
    </row>
    <row r="72" spans="1:7" x14ac:dyDescent="0.2">
      <c r="A72" s="12" t="s">
        <v>209</v>
      </c>
      <c r="B72" s="12" t="s">
        <v>210</v>
      </c>
      <c r="C72" s="12" t="s">
        <v>211</v>
      </c>
      <c r="E72" s="12">
        <v>0</v>
      </c>
      <c r="F72" s="12" t="s">
        <v>1063</v>
      </c>
      <c r="G72" s="12" t="s">
        <v>1224</v>
      </c>
    </row>
    <row r="73" spans="1:7" x14ac:dyDescent="0.2">
      <c r="A73" s="12" t="s">
        <v>212</v>
      </c>
      <c r="B73" s="12" t="s">
        <v>213</v>
      </c>
      <c r="C73" s="12" t="s">
        <v>214</v>
      </c>
      <c r="E73" s="12">
        <v>0</v>
      </c>
      <c r="F73" s="12" t="s">
        <v>1063</v>
      </c>
      <c r="G73" s="12" t="s">
        <v>1181</v>
      </c>
    </row>
    <row r="74" spans="1:7" x14ac:dyDescent="0.2">
      <c r="A74" s="12" t="s">
        <v>215</v>
      </c>
      <c r="B74" s="12" t="s">
        <v>216</v>
      </c>
      <c r="C74" s="12" t="s">
        <v>217</v>
      </c>
      <c r="D74" s="12" t="s">
        <v>60</v>
      </c>
      <c r="E74" s="12">
        <v>0</v>
      </c>
      <c r="F74" s="12" t="s">
        <v>1063</v>
      </c>
      <c r="G74" s="12" t="s">
        <v>1202</v>
      </c>
    </row>
    <row r="75" spans="1:7" x14ac:dyDescent="0.2">
      <c r="A75" s="12" t="s">
        <v>218</v>
      </c>
      <c r="B75" s="12" t="s">
        <v>219</v>
      </c>
      <c r="C75" s="12" t="s">
        <v>220</v>
      </c>
      <c r="D75" s="12" t="s">
        <v>221</v>
      </c>
      <c r="E75" s="12">
        <v>0</v>
      </c>
      <c r="F75" s="12" t="s">
        <v>1069</v>
      </c>
      <c r="G75" s="12" t="s">
        <v>1295</v>
      </c>
    </row>
    <row r="76" spans="1:7" x14ac:dyDescent="0.2">
      <c r="A76" s="12" t="s">
        <v>222</v>
      </c>
      <c r="B76" s="12" t="s">
        <v>223</v>
      </c>
      <c r="C76" s="12" t="s">
        <v>89</v>
      </c>
      <c r="D76" s="12" t="s">
        <v>224</v>
      </c>
      <c r="E76" s="12">
        <v>0</v>
      </c>
      <c r="F76" s="12" t="s">
        <v>1062</v>
      </c>
      <c r="G76" s="12" t="s">
        <v>1236</v>
      </c>
    </row>
    <row r="77" spans="1:7" x14ac:dyDescent="0.2">
      <c r="A77" s="12" t="s">
        <v>225</v>
      </c>
      <c r="B77" s="12" t="s">
        <v>226</v>
      </c>
      <c r="E77" s="12">
        <v>0</v>
      </c>
      <c r="G77" s="12" t="s">
        <v>1070</v>
      </c>
    </row>
    <row r="78" spans="1:7" x14ac:dyDescent="0.2">
      <c r="A78" s="12" t="s">
        <v>227</v>
      </c>
      <c r="B78" s="12" t="s">
        <v>228</v>
      </c>
      <c r="C78" s="12" t="s">
        <v>229</v>
      </c>
      <c r="E78" s="12">
        <v>0</v>
      </c>
      <c r="F78" s="12" t="s">
        <v>1060</v>
      </c>
      <c r="G78" s="12" t="s">
        <v>1060</v>
      </c>
    </row>
    <row r="79" spans="1:7" x14ac:dyDescent="0.2">
      <c r="A79" s="12" t="s">
        <v>230</v>
      </c>
      <c r="B79" s="12" t="s">
        <v>231</v>
      </c>
      <c r="C79" s="12" t="s">
        <v>232</v>
      </c>
      <c r="E79" s="12">
        <v>0</v>
      </c>
      <c r="F79" s="12" t="s">
        <v>1060</v>
      </c>
      <c r="G79" s="12" t="s">
        <v>1060</v>
      </c>
    </row>
    <row r="80" spans="1:7" x14ac:dyDescent="0.2">
      <c r="A80" s="12" t="s">
        <v>233</v>
      </c>
      <c r="B80" s="12" t="s">
        <v>234</v>
      </c>
      <c r="C80" s="12" t="s">
        <v>235</v>
      </c>
      <c r="E80" s="12">
        <v>0</v>
      </c>
      <c r="F80" s="12" t="s">
        <v>1061</v>
      </c>
      <c r="G80" s="12" t="s">
        <v>1075</v>
      </c>
    </row>
    <row r="81" spans="1:7" x14ac:dyDescent="0.2">
      <c r="A81" s="12" t="s">
        <v>236</v>
      </c>
      <c r="B81" s="12" t="s">
        <v>237</v>
      </c>
      <c r="C81" s="12" t="s">
        <v>89</v>
      </c>
      <c r="E81" s="12">
        <v>0</v>
      </c>
      <c r="F81" s="12" t="s">
        <v>1063</v>
      </c>
      <c r="G81" s="12" t="s">
        <v>1224</v>
      </c>
    </row>
    <row r="82" spans="1:7" x14ac:dyDescent="0.2">
      <c r="A82" s="12" t="s">
        <v>238</v>
      </c>
      <c r="B82" s="12" t="s">
        <v>239</v>
      </c>
      <c r="C82" s="12" t="s">
        <v>25</v>
      </c>
      <c r="E82" s="12">
        <v>0</v>
      </c>
      <c r="F82" s="12" t="s">
        <v>1061</v>
      </c>
      <c r="G82" s="12" t="s">
        <v>1098</v>
      </c>
    </row>
    <row r="83" spans="1:7" x14ac:dyDescent="0.2">
      <c r="A83" s="12" t="s">
        <v>240</v>
      </c>
      <c r="B83" s="12" t="s">
        <v>241</v>
      </c>
      <c r="C83" s="12" t="s">
        <v>242</v>
      </c>
      <c r="E83" s="12">
        <v>0</v>
      </c>
      <c r="F83" s="12" t="s">
        <v>1061</v>
      </c>
      <c r="G83" s="12" t="s">
        <v>1084</v>
      </c>
    </row>
    <row r="84" spans="1:7" x14ac:dyDescent="0.2">
      <c r="A84" s="12" t="s">
        <v>243</v>
      </c>
      <c r="B84" s="12" t="s">
        <v>244</v>
      </c>
      <c r="C84" s="12" t="s">
        <v>245</v>
      </c>
      <c r="E84" s="12">
        <v>0</v>
      </c>
      <c r="F84" s="12" t="s">
        <v>1062</v>
      </c>
      <c r="G84" s="12" t="s">
        <v>1147</v>
      </c>
    </row>
    <row r="85" spans="1:7" x14ac:dyDescent="0.2">
      <c r="A85" s="12" t="s">
        <v>246</v>
      </c>
      <c r="B85" s="12" t="s">
        <v>247</v>
      </c>
      <c r="C85" s="12" t="s">
        <v>248</v>
      </c>
      <c r="D85" s="12" t="s">
        <v>224</v>
      </c>
      <c r="E85" s="12">
        <v>0</v>
      </c>
      <c r="F85" s="12" t="s">
        <v>1060</v>
      </c>
      <c r="G85" s="12" t="s">
        <v>1060</v>
      </c>
    </row>
    <row r="86" spans="1:7" x14ac:dyDescent="0.2">
      <c r="A86" s="12" t="s">
        <v>249</v>
      </c>
      <c r="B86" s="12" t="s">
        <v>250</v>
      </c>
      <c r="E86" s="12">
        <v>0</v>
      </c>
      <c r="G86" s="12" t="s">
        <v>1070</v>
      </c>
    </row>
    <row r="87" spans="1:7" x14ac:dyDescent="0.2">
      <c r="A87" s="12" t="s">
        <v>251</v>
      </c>
      <c r="B87" s="12" t="s">
        <v>252</v>
      </c>
      <c r="E87" s="12">
        <v>0</v>
      </c>
      <c r="G87" s="12" t="s">
        <v>1070</v>
      </c>
    </row>
    <row r="88" spans="1:7" x14ac:dyDescent="0.2">
      <c r="A88" s="12" t="s">
        <v>253</v>
      </c>
      <c r="B88" s="12" t="s">
        <v>254</v>
      </c>
      <c r="C88" s="12" t="s">
        <v>255</v>
      </c>
      <c r="E88" s="12">
        <v>0</v>
      </c>
      <c r="F88" s="12" t="s">
        <v>1061</v>
      </c>
      <c r="G88" s="12" t="s">
        <v>1083</v>
      </c>
    </row>
    <row r="89" spans="1:7" x14ac:dyDescent="0.2">
      <c r="A89" s="12" t="s">
        <v>256</v>
      </c>
      <c r="B89" s="12" t="s">
        <v>257</v>
      </c>
      <c r="C89" s="12" t="s">
        <v>258</v>
      </c>
      <c r="D89" s="12" t="s">
        <v>259</v>
      </c>
      <c r="E89" s="12">
        <v>0</v>
      </c>
      <c r="F89" s="12" t="s">
        <v>1067</v>
      </c>
      <c r="G89" s="12" t="s">
        <v>1106</v>
      </c>
    </row>
    <row r="90" spans="1:7" x14ac:dyDescent="0.2">
      <c r="A90" s="12" t="s">
        <v>260</v>
      </c>
      <c r="B90" s="12" t="s">
        <v>261</v>
      </c>
      <c r="C90" s="12" t="s">
        <v>124</v>
      </c>
      <c r="D90" s="12" t="s">
        <v>262</v>
      </c>
      <c r="E90" s="12">
        <v>0</v>
      </c>
      <c r="F90" s="12" t="s">
        <v>1059</v>
      </c>
      <c r="G90" s="12" t="s">
        <v>1169</v>
      </c>
    </row>
    <row r="91" spans="1:7" x14ac:dyDescent="0.2">
      <c r="A91" s="12" t="s">
        <v>263</v>
      </c>
      <c r="B91" s="12" t="s">
        <v>264</v>
      </c>
      <c r="C91" s="12" t="s">
        <v>265</v>
      </c>
      <c r="D91" s="12" t="s">
        <v>266</v>
      </c>
      <c r="E91" s="12">
        <v>0</v>
      </c>
      <c r="F91" s="12" t="s">
        <v>1059</v>
      </c>
      <c r="G91" s="12" t="s">
        <v>1166</v>
      </c>
    </row>
    <row r="92" spans="1:7" x14ac:dyDescent="0.2">
      <c r="A92" s="12" t="s">
        <v>267</v>
      </c>
      <c r="B92" s="12" t="s">
        <v>268</v>
      </c>
      <c r="C92" s="12" t="s">
        <v>269</v>
      </c>
      <c r="D92" s="12" t="s">
        <v>60</v>
      </c>
      <c r="E92" s="12">
        <v>0</v>
      </c>
      <c r="F92" s="12" t="s">
        <v>1063</v>
      </c>
      <c r="G92" s="12" t="s">
        <v>1196</v>
      </c>
    </row>
    <row r="93" spans="1:7" x14ac:dyDescent="0.2">
      <c r="A93" s="12" t="s">
        <v>270</v>
      </c>
      <c r="B93" s="12" t="s">
        <v>271</v>
      </c>
      <c r="C93" s="12" t="s">
        <v>77</v>
      </c>
      <c r="E93" s="12">
        <v>0</v>
      </c>
      <c r="F93" s="12" t="s">
        <v>1061</v>
      </c>
      <c r="G93" s="12" t="s">
        <v>1084</v>
      </c>
    </row>
    <row r="94" spans="1:7" x14ac:dyDescent="0.2">
      <c r="A94" s="12" t="s">
        <v>272</v>
      </c>
      <c r="B94" s="12" t="s">
        <v>273</v>
      </c>
      <c r="C94" s="12" t="s">
        <v>274</v>
      </c>
      <c r="E94" s="12">
        <v>0</v>
      </c>
      <c r="F94" s="12" t="s">
        <v>1064</v>
      </c>
      <c r="G94" s="12" t="s">
        <v>1136</v>
      </c>
    </row>
    <row r="95" spans="1:7" x14ac:dyDescent="0.2">
      <c r="A95" s="12" t="s">
        <v>275</v>
      </c>
      <c r="B95" s="12" t="s">
        <v>276</v>
      </c>
      <c r="C95" s="12" t="s">
        <v>277</v>
      </c>
      <c r="E95" s="12">
        <v>0</v>
      </c>
      <c r="F95" s="12" t="s">
        <v>1061</v>
      </c>
      <c r="G95" s="12" t="s">
        <v>1087</v>
      </c>
    </row>
    <row r="96" spans="1:7" x14ac:dyDescent="0.2">
      <c r="A96" s="12" t="s">
        <v>278</v>
      </c>
      <c r="B96" s="12" t="s">
        <v>279</v>
      </c>
      <c r="C96" s="12" t="s">
        <v>280</v>
      </c>
      <c r="D96" s="12" t="s">
        <v>281</v>
      </c>
      <c r="E96" s="12">
        <v>0</v>
      </c>
      <c r="F96" s="12" t="s">
        <v>1059</v>
      </c>
      <c r="G96" s="12" t="s">
        <v>1157</v>
      </c>
    </row>
    <row r="97" spans="1:7" x14ac:dyDescent="0.2">
      <c r="A97" s="12" t="s">
        <v>282</v>
      </c>
      <c r="B97" s="12" t="s">
        <v>283</v>
      </c>
      <c r="C97" s="12" t="s">
        <v>284</v>
      </c>
      <c r="E97" s="12">
        <v>0</v>
      </c>
      <c r="F97" s="12" t="s">
        <v>1061</v>
      </c>
      <c r="G97" s="12" t="s">
        <v>1073</v>
      </c>
    </row>
    <row r="98" spans="1:7" x14ac:dyDescent="0.2">
      <c r="A98" s="12" t="s">
        <v>285</v>
      </c>
      <c r="B98" s="12" t="s">
        <v>286</v>
      </c>
      <c r="C98" s="12" t="s">
        <v>287</v>
      </c>
      <c r="E98" s="12">
        <v>0</v>
      </c>
      <c r="F98" s="12" t="s">
        <v>1065</v>
      </c>
      <c r="G98" s="12" t="s">
        <v>1179</v>
      </c>
    </row>
    <row r="99" spans="1:7" x14ac:dyDescent="0.2">
      <c r="A99" s="12" t="s">
        <v>288</v>
      </c>
      <c r="B99" s="12" t="s">
        <v>289</v>
      </c>
      <c r="C99" s="12" t="s">
        <v>290</v>
      </c>
      <c r="E99" s="12">
        <v>0</v>
      </c>
      <c r="F99" s="12" t="s">
        <v>1067</v>
      </c>
      <c r="G99" s="12" t="s">
        <v>1078</v>
      </c>
    </row>
    <row r="100" spans="1:7" x14ac:dyDescent="0.2">
      <c r="A100" s="12" t="s">
        <v>291</v>
      </c>
      <c r="B100" s="12" t="s">
        <v>292</v>
      </c>
      <c r="C100" s="12" t="s">
        <v>293</v>
      </c>
      <c r="E100" s="12">
        <v>0</v>
      </c>
      <c r="F100" s="12" t="s">
        <v>1063</v>
      </c>
      <c r="G100" s="12" t="s">
        <v>1196</v>
      </c>
    </row>
    <row r="101" spans="1:7" x14ac:dyDescent="0.2">
      <c r="A101" s="12" t="s">
        <v>294</v>
      </c>
      <c r="B101" s="12" t="s">
        <v>295</v>
      </c>
      <c r="C101" s="12" t="s">
        <v>296</v>
      </c>
      <c r="E101" s="12">
        <v>0</v>
      </c>
      <c r="F101" s="12" t="s">
        <v>1064</v>
      </c>
      <c r="G101" s="12" t="s">
        <v>1137</v>
      </c>
    </row>
    <row r="102" spans="1:7" x14ac:dyDescent="0.2">
      <c r="A102" s="12" t="s">
        <v>297</v>
      </c>
      <c r="B102" s="12" t="s">
        <v>298</v>
      </c>
      <c r="C102" s="12" t="s">
        <v>299</v>
      </c>
      <c r="E102" s="12">
        <v>0</v>
      </c>
      <c r="F102" s="12" t="s">
        <v>1061</v>
      </c>
      <c r="G102" s="12" t="s">
        <v>1083</v>
      </c>
    </row>
    <row r="103" spans="1:7" x14ac:dyDescent="0.2">
      <c r="A103" s="12" t="s">
        <v>300</v>
      </c>
      <c r="B103" s="12" t="s">
        <v>301</v>
      </c>
      <c r="C103" s="12" t="s">
        <v>302</v>
      </c>
      <c r="D103" s="12" t="s">
        <v>303</v>
      </c>
      <c r="E103" s="12">
        <v>0</v>
      </c>
      <c r="F103" s="12" t="s">
        <v>1060</v>
      </c>
      <c r="G103" s="12" t="s">
        <v>1060</v>
      </c>
    </row>
    <row r="104" spans="1:7" x14ac:dyDescent="0.2">
      <c r="A104" s="12" t="s">
        <v>304</v>
      </c>
      <c r="B104" s="12" t="s">
        <v>305</v>
      </c>
      <c r="C104" s="12" t="s">
        <v>306</v>
      </c>
      <c r="E104" s="12">
        <v>1</v>
      </c>
      <c r="F104" s="12" t="s">
        <v>1061</v>
      </c>
      <c r="G104" s="12" t="s">
        <v>1087</v>
      </c>
    </row>
    <row r="105" spans="1:7" x14ac:dyDescent="0.2">
      <c r="A105" s="12" t="s">
        <v>307</v>
      </c>
      <c r="B105" s="12" t="s">
        <v>308</v>
      </c>
      <c r="C105" s="12" t="s">
        <v>309</v>
      </c>
      <c r="D105" s="12" t="s">
        <v>26</v>
      </c>
      <c r="E105" s="12">
        <v>1</v>
      </c>
      <c r="F105" s="12" t="s">
        <v>1061</v>
      </c>
      <c r="G105" s="12" t="s">
        <v>1098</v>
      </c>
    </row>
    <row r="106" spans="1:7" x14ac:dyDescent="0.2">
      <c r="A106" s="12" t="s">
        <v>310</v>
      </c>
      <c r="B106" s="12" t="s">
        <v>311</v>
      </c>
      <c r="C106" s="12" t="s">
        <v>312</v>
      </c>
      <c r="D106" s="12" t="s">
        <v>313</v>
      </c>
      <c r="E106" s="12">
        <v>0</v>
      </c>
      <c r="F106" s="12" t="s">
        <v>1063</v>
      </c>
      <c r="G106" s="12" t="s">
        <v>1182</v>
      </c>
    </row>
    <row r="107" spans="1:7" x14ac:dyDescent="0.2">
      <c r="A107" s="12" t="s">
        <v>314</v>
      </c>
      <c r="B107" s="12" t="s">
        <v>315</v>
      </c>
      <c r="C107" s="12" t="s">
        <v>89</v>
      </c>
      <c r="D107" s="12" t="s">
        <v>316</v>
      </c>
      <c r="E107" s="12">
        <v>0</v>
      </c>
      <c r="F107" s="12" t="s">
        <v>1063</v>
      </c>
      <c r="G107" s="12" t="s">
        <v>1184</v>
      </c>
    </row>
    <row r="108" spans="1:7" x14ac:dyDescent="0.2">
      <c r="A108" s="12" t="s">
        <v>317</v>
      </c>
      <c r="B108" s="12" t="s">
        <v>318</v>
      </c>
      <c r="C108" s="12" t="s">
        <v>319</v>
      </c>
      <c r="E108" s="12">
        <v>0</v>
      </c>
      <c r="F108" s="12" t="s">
        <v>1068</v>
      </c>
      <c r="G108" s="12" t="s">
        <v>1180</v>
      </c>
    </row>
    <row r="109" spans="1:7" x14ac:dyDescent="0.2">
      <c r="A109" s="12" t="s">
        <v>320</v>
      </c>
      <c r="B109" s="12" t="s">
        <v>321</v>
      </c>
      <c r="E109" s="12">
        <v>0</v>
      </c>
      <c r="G109" s="12" t="s">
        <v>1070</v>
      </c>
    </row>
    <row r="110" spans="1:7" x14ac:dyDescent="0.2">
      <c r="A110" s="12" t="s">
        <v>322</v>
      </c>
      <c r="B110" s="12" t="s">
        <v>323</v>
      </c>
      <c r="C110" s="12" t="s">
        <v>324</v>
      </c>
      <c r="D110" s="12" t="s">
        <v>26</v>
      </c>
      <c r="E110" s="12">
        <v>0</v>
      </c>
      <c r="F110" s="12" t="s">
        <v>1064</v>
      </c>
      <c r="G110" s="12" t="s">
        <v>1115</v>
      </c>
    </row>
    <row r="111" spans="1:7" x14ac:dyDescent="0.2">
      <c r="A111" s="12" t="s">
        <v>325</v>
      </c>
      <c r="B111" s="12" t="s">
        <v>326</v>
      </c>
      <c r="C111" s="12" t="s">
        <v>327</v>
      </c>
      <c r="E111" s="12">
        <v>0</v>
      </c>
      <c r="F111" s="12" t="s">
        <v>1063</v>
      </c>
      <c r="G111" s="12" t="s">
        <v>1239</v>
      </c>
    </row>
    <row r="112" spans="1:7" x14ac:dyDescent="0.2">
      <c r="A112" s="12" t="s">
        <v>328</v>
      </c>
      <c r="B112" s="12" t="s">
        <v>329</v>
      </c>
      <c r="C112" s="12" t="s">
        <v>330</v>
      </c>
      <c r="D112" s="12" t="s">
        <v>331</v>
      </c>
      <c r="E112" s="12">
        <v>0</v>
      </c>
      <c r="F112" s="12" t="s">
        <v>1067</v>
      </c>
      <c r="G112" s="12" t="s">
        <v>1096</v>
      </c>
    </row>
    <row r="113" spans="1:7" x14ac:dyDescent="0.2">
      <c r="A113" s="12" t="s">
        <v>332</v>
      </c>
      <c r="B113" s="12" t="s">
        <v>333</v>
      </c>
      <c r="C113" s="12" t="s">
        <v>334</v>
      </c>
      <c r="E113" s="12">
        <v>0</v>
      </c>
      <c r="F113" s="12" t="s">
        <v>1061</v>
      </c>
      <c r="G113" s="12" t="s">
        <v>1087</v>
      </c>
    </row>
    <row r="114" spans="1:7" x14ac:dyDescent="0.2">
      <c r="A114" s="12" t="s">
        <v>335</v>
      </c>
      <c r="B114" s="12" t="s">
        <v>336</v>
      </c>
      <c r="C114" s="12" t="s">
        <v>299</v>
      </c>
      <c r="E114" s="12">
        <v>0</v>
      </c>
      <c r="F114" s="12" t="s">
        <v>1061</v>
      </c>
      <c r="G114" s="12" t="s">
        <v>1083</v>
      </c>
    </row>
    <row r="115" spans="1:7" x14ac:dyDescent="0.2">
      <c r="A115" s="12" t="s">
        <v>337</v>
      </c>
      <c r="B115" s="12" t="s">
        <v>338</v>
      </c>
      <c r="C115" s="12" t="s">
        <v>339</v>
      </c>
      <c r="D115" s="12" t="s">
        <v>340</v>
      </c>
      <c r="E115" s="12">
        <v>0</v>
      </c>
      <c r="F115" s="12" t="s">
        <v>1059</v>
      </c>
      <c r="G115" s="12" t="s">
        <v>1173</v>
      </c>
    </row>
    <row r="116" spans="1:7" x14ac:dyDescent="0.2">
      <c r="A116" s="12" t="s">
        <v>341</v>
      </c>
      <c r="B116" s="12" t="s">
        <v>342</v>
      </c>
      <c r="C116" s="12" t="s">
        <v>25</v>
      </c>
      <c r="D116" s="12" t="s">
        <v>343</v>
      </c>
      <c r="E116" s="12">
        <v>0</v>
      </c>
      <c r="F116" s="12" t="s">
        <v>1061</v>
      </c>
      <c r="G116" s="12" t="s">
        <v>1098</v>
      </c>
    </row>
    <row r="117" spans="1:7" x14ac:dyDescent="0.2">
      <c r="A117" s="12" t="s">
        <v>344</v>
      </c>
      <c r="B117" s="12" t="s">
        <v>345</v>
      </c>
      <c r="C117" s="12" t="s">
        <v>346</v>
      </c>
      <c r="E117" s="12">
        <v>0</v>
      </c>
      <c r="F117" s="12" t="s">
        <v>1060</v>
      </c>
      <c r="G117" s="12" t="s">
        <v>1060</v>
      </c>
    </row>
    <row r="118" spans="1:7" x14ac:dyDescent="0.2">
      <c r="A118" s="12" t="s">
        <v>347</v>
      </c>
      <c r="B118" s="12" t="s">
        <v>348</v>
      </c>
      <c r="C118" s="12" t="s">
        <v>265</v>
      </c>
      <c r="D118" s="12" t="s">
        <v>349</v>
      </c>
      <c r="E118" s="12">
        <v>0</v>
      </c>
      <c r="F118" s="12" t="s">
        <v>1059</v>
      </c>
      <c r="G118" s="12" t="s">
        <v>1166</v>
      </c>
    </row>
    <row r="119" spans="1:7" x14ac:dyDescent="0.2">
      <c r="A119" s="12" t="s">
        <v>350</v>
      </c>
      <c r="B119" s="12" t="s">
        <v>351</v>
      </c>
      <c r="C119" s="12" t="s">
        <v>352</v>
      </c>
      <c r="E119" s="12">
        <v>0</v>
      </c>
      <c r="F119" s="12" t="s">
        <v>1061</v>
      </c>
      <c r="G119" s="12" t="s">
        <v>1086</v>
      </c>
    </row>
    <row r="120" spans="1:7" x14ac:dyDescent="0.2">
      <c r="A120" s="12" t="s">
        <v>353</v>
      </c>
      <c r="B120" s="12" t="s">
        <v>354</v>
      </c>
      <c r="C120" s="12" t="s">
        <v>355</v>
      </c>
      <c r="E120" s="12">
        <v>0</v>
      </c>
      <c r="F120" s="12" t="s">
        <v>1059</v>
      </c>
      <c r="G120" s="12" t="s">
        <v>1161</v>
      </c>
    </row>
    <row r="121" spans="1:7" x14ac:dyDescent="0.2">
      <c r="A121" s="12" t="s">
        <v>356</v>
      </c>
      <c r="B121" s="12" t="s">
        <v>357</v>
      </c>
      <c r="C121" s="12" t="s">
        <v>217</v>
      </c>
      <c r="E121" s="12">
        <v>0</v>
      </c>
      <c r="F121" s="12" t="s">
        <v>1063</v>
      </c>
      <c r="G121" s="12" t="s">
        <v>1202</v>
      </c>
    </row>
    <row r="122" spans="1:7" x14ac:dyDescent="0.2">
      <c r="A122" s="12" t="s">
        <v>358</v>
      </c>
      <c r="B122" s="12" t="s">
        <v>359</v>
      </c>
      <c r="C122" s="12" t="s">
        <v>360</v>
      </c>
      <c r="D122" s="12" t="s">
        <v>26</v>
      </c>
      <c r="E122" s="12">
        <v>0</v>
      </c>
      <c r="F122" s="12" t="s">
        <v>1061</v>
      </c>
      <c r="G122" s="12" t="s">
        <v>1100</v>
      </c>
    </row>
    <row r="123" spans="1:7" x14ac:dyDescent="0.2">
      <c r="A123" s="12" t="s">
        <v>361</v>
      </c>
      <c r="B123" s="12" t="s">
        <v>362</v>
      </c>
      <c r="C123" s="12" t="s">
        <v>363</v>
      </c>
      <c r="D123" s="12" t="s">
        <v>364</v>
      </c>
      <c r="E123" s="12">
        <v>0</v>
      </c>
      <c r="F123" s="12" t="s">
        <v>1059</v>
      </c>
      <c r="G123" s="12" t="s">
        <v>1157</v>
      </c>
    </row>
    <row r="124" spans="1:7" x14ac:dyDescent="0.2">
      <c r="A124" s="12" t="s">
        <v>365</v>
      </c>
      <c r="B124" s="12" t="s">
        <v>366</v>
      </c>
      <c r="C124" s="12" t="s">
        <v>367</v>
      </c>
      <c r="E124" s="12">
        <v>0</v>
      </c>
      <c r="F124" s="12" t="s">
        <v>1061</v>
      </c>
      <c r="G124" s="12" t="s">
        <v>1099</v>
      </c>
    </row>
    <row r="125" spans="1:7" x14ac:dyDescent="0.2">
      <c r="A125" s="12" t="s">
        <v>368</v>
      </c>
      <c r="B125" s="12" t="s">
        <v>369</v>
      </c>
      <c r="C125" s="12" t="s">
        <v>370</v>
      </c>
      <c r="D125" s="12" t="s">
        <v>60</v>
      </c>
      <c r="E125" s="12">
        <v>0</v>
      </c>
      <c r="F125" s="12" t="s">
        <v>1063</v>
      </c>
      <c r="G125" s="12" t="s">
        <v>1195</v>
      </c>
    </row>
    <row r="126" spans="1:7" x14ac:dyDescent="0.2">
      <c r="A126" s="12" t="s">
        <v>371</v>
      </c>
      <c r="B126" s="12" t="s">
        <v>372</v>
      </c>
      <c r="C126" s="12" t="s">
        <v>373</v>
      </c>
      <c r="E126" s="12">
        <v>0</v>
      </c>
      <c r="F126" s="12" t="s">
        <v>1061</v>
      </c>
      <c r="G126" s="12" t="s">
        <v>1296</v>
      </c>
    </row>
    <row r="127" spans="1:7" x14ac:dyDescent="0.2">
      <c r="A127" s="12" t="s">
        <v>374</v>
      </c>
      <c r="B127" s="12" t="s">
        <v>375</v>
      </c>
      <c r="C127" s="12" t="s">
        <v>376</v>
      </c>
      <c r="E127" s="12">
        <v>0</v>
      </c>
      <c r="F127" s="12" t="s">
        <v>1064</v>
      </c>
      <c r="G127" s="12" t="s">
        <v>1136</v>
      </c>
    </row>
    <row r="128" spans="1:7" x14ac:dyDescent="0.2">
      <c r="A128" s="12" t="s">
        <v>377</v>
      </c>
      <c r="B128" s="12" t="s">
        <v>378</v>
      </c>
      <c r="C128" s="12" t="s">
        <v>379</v>
      </c>
      <c r="E128" s="12">
        <v>0</v>
      </c>
      <c r="F128" s="12" t="s">
        <v>1067</v>
      </c>
      <c r="G128" s="12" t="s">
        <v>1126</v>
      </c>
    </row>
    <row r="129" spans="1:7" x14ac:dyDescent="0.2">
      <c r="A129" s="12" t="s">
        <v>380</v>
      </c>
      <c r="B129" s="12" t="s">
        <v>381</v>
      </c>
      <c r="C129" s="12" t="s">
        <v>382</v>
      </c>
      <c r="E129" s="12">
        <v>0</v>
      </c>
      <c r="F129" s="12" t="s">
        <v>1061</v>
      </c>
      <c r="G129" s="12" t="s">
        <v>1101</v>
      </c>
    </row>
    <row r="130" spans="1:7" x14ac:dyDescent="0.2">
      <c r="A130" s="12" t="s">
        <v>383</v>
      </c>
      <c r="B130" s="12" t="s">
        <v>384</v>
      </c>
      <c r="C130" s="12" t="s">
        <v>99</v>
      </c>
      <c r="E130" s="12">
        <v>0</v>
      </c>
      <c r="F130" s="12" t="s">
        <v>1064</v>
      </c>
      <c r="G130" s="12" t="s">
        <v>1292</v>
      </c>
    </row>
    <row r="131" spans="1:7" x14ac:dyDescent="0.2">
      <c r="A131" s="12" t="s">
        <v>385</v>
      </c>
      <c r="B131" s="12" t="s">
        <v>386</v>
      </c>
      <c r="C131" s="12" t="s">
        <v>387</v>
      </c>
      <c r="D131" s="12" t="s">
        <v>388</v>
      </c>
      <c r="E131" s="12">
        <v>0</v>
      </c>
      <c r="F131" s="12" t="s">
        <v>1067</v>
      </c>
      <c r="G131" s="12" t="s">
        <v>1128</v>
      </c>
    </row>
    <row r="132" spans="1:7" x14ac:dyDescent="0.2">
      <c r="A132" s="12" t="s">
        <v>389</v>
      </c>
      <c r="B132" s="12" t="s">
        <v>390</v>
      </c>
      <c r="C132" s="12" t="s">
        <v>391</v>
      </c>
      <c r="D132" s="12" t="s">
        <v>221</v>
      </c>
      <c r="E132" s="12">
        <v>0</v>
      </c>
      <c r="F132" s="12" t="s">
        <v>1067</v>
      </c>
      <c r="G132" s="12" t="s">
        <v>1107</v>
      </c>
    </row>
    <row r="133" spans="1:7" x14ac:dyDescent="0.2">
      <c r="A133" s="12" t="s">
        <v>392</v>
      </c>
      <c r="B133" s="12" t="s">
        <v>393</v>
      </c>
      <c r="C133" s="12" t="s">
        <v>394</v>
      </c>
      <c r="E133" s="12">
        <v>0</v>
      </c>
      <c r="F133" s="12" t="s">
        <v>1067</v>
      </c>
      <c r="G133" s="12" t="s">
        <v>1131</v>
      </c>
    </row>
    <row r="134" spans="1:7" x14ac:dyDescent="0.2">
      <c r="A134" s="12" t="s">
        <v>395</v>
      </c>
      <c r="B134" s="12" t="s">
        <v>396</v>
      </c>
      <c r="C134" s="12" t="s">
        <v>397</v>
      </c>
      <c r="D134" s="12" t="s">
        <v>398</v>
      </c>
      <c r="E134" s="12">
        <v>0</v>
      </c>
      <c r="F134" s="12" t="s">
        <v>1063</v>
      </c>
      <c r="G134" s="12" t="s">
        <v>1229</v>
      </c>
    </row>
    <row r="135" spans="1:7" x14ac:dyDescent="0.2">
      <c r="A135" s="12" t="s">
        <v>399</v>
      </c>
      <c r="B135" s="12" t="s">
        <v>400</v>
      </c>
      <c r="C135" s="12" t="s">
        <v>401</v>
      </c>
      <c r="D135" s="12" t="s">
        <v>402</v>
      </c>
      <c r="E135" s="12">
        <v>0</v>
      </c>
      <c r="F135" s="12" t="s">
        <v>1062</v>
      </c>
      <c r="G135" s="12" t="s">
        <v>1228</v>
      </c>
    </row>
    <row r="136" spans="1:7" x14ac:dyDescent="0.2">
      <c r="A136" s="12" t="s">
        <v>403</v>
      </c>
      <c r="B136" s="12" t="s">
        <v>404</v>
      </c>
      <c r="C136" s="12" t="s">
        <v>405</v>
      </c>
      <c r="D136" s="12" t="s">
        <v>406</v>
      </c>
      <c r="E136" s="12">
        <v>0</v>
      </c>
      <c r="F136" s="12" t="s">
        <v>1061</v>
      </c>
      <c r="G136" s="12" t="s">
        <v>1098</v>
      </c>
    </row>
    <row r="137" spans="1:7" x14ac:dyDescent="0.2">
      <c r="A137" s="12" t="s">
        <v>407</v>
      </c>
      <c r="B137" s="12" t="s">
        <v>408</v>
      </c>
      <c r="C137" s="12" t="s">
        <v>409</v>
      </c>
      <c r="D137" s="12" t="s">
        <v>410</v>
      </c>
      <c r="E137" s="12">
        <v>0</v>
      </c>
      <c r="F137" s="12" t="s">
        <v>1062</v>
      </c>
      <c r="G137" s="12" t="s">
        <v>1188</v>
      </c>
    </row>
    <row r="138" spans="1:7" x14ac:dyDescent="0.2">
      <c r="A138" s="12" t="s">
        <v>411</v>
      </c>
      <c r="B138" s="12" t="s">
        <v>412</v>
      </c>
      <c r="C138" s="12" t="s">
        <v>413</v>
      </c>
      <c r="E138" s="12">
        <v>0</v>
      </c>
      <c r="F138" s="12" t="s">
        <v>1063</v>
      </c>
      <c r="G138" s="12" t="s">
        <v>1224</v>
      </c>
    </row>
    <row r="139" spans="1:7" x14ac:dyDescent="0.2">
      <c r="A139" s="12" t="s">
        <v>414</v>
      </c>
      <c r="B139" s="12" t="s">
        <v>415</v>
      </c>
      <c r="C139" s="12" t="s">
        <v>416</v>
      </c>
      <c r="E139" s="12">
        <v>0</v>
      </c>
      <c r="F139" s="12" t="s">
        <v>1063</v>
      </c>
      <c r="G139" s="12" t="s">
        <v>1239</v>
      </c>
    </row>
    <row r="140" spans="1:7" x14ac:dyDescent="0.2">
      <c r="A140" s="12" t="s">
        <v>417</v>
      </c>
      <c r="B140" s="12" t="s">
        <v>418</v>
      </c>
      <c r="C140" s="12" t="s">
        <v>419</v>
      </c>
      <c r="D140" s="12" t="s">
        <v>420</v>
      </c>
      <c r="E140" s="12">
        <v>0</v>
      </c>
      <c r="F140" s="12" t="s">
        <v>1062</v>
      </c>
      <c r="G140" s="12" t="s">
        <v>1234</v>
      </c>
    </row>
    <row r="141" spans="1:7" x14ac:dyDescent="0.2">
      <c r="A141" s="12" t="s">
        <v>421</v>
      </c>
      <c r="B141" s="12" t="s">
        <v>422</v>
      </c>
      <c r="C141" s="12" t="s">
        <v>423</v>
      </c>
      <c r="D141" s="12" t="s">
        <v>424</v>
      </c>
      <c r="E141" s="12">
        <v>0</v>
      </c>
      <c r="F141" s="12" t="s">
        <v>1064</v>
      </c>
      <c r="G141" s="12" t="s">
        <v>1297</v>
      </c>
    </row>
    <row r="142" spans="1:7" x14ac:dyDescent="0.2">
      <c r="A142" s="12" t="s">
        <v>425</v>
      </c>
      <c r="B142" s="12" t="s">
        <v>426</v>
      </c>
      <c r="C142" s="12" t="s">
        <v>427</v>
      </c>
      <c r="E142" s="12">
        <v>0</v>
      </c>
      <c r="F142" s="12" t="s">
        <v>1059</v>
      </c>
      <c r="G142" s="12" t="s">
        <v>1157</v>
      </c>
    </row>
    <row r="143" spans="1:7" x14ac:dyDescent="0.2">
      <c r="A143" s="12" t="s">
        <v>428</v>
      </c>
      <c r="B143" s="12" t="s">
        <v>429</v>
      </c>
      <c r="C143" s="12" t="s">
        <v>430</v>
      </c>
      <c r="E143" s="12">
        <v>0</v>
      </c>
      <c r="F143" s="12" t="s">
        <v>1059</v>
      </c>
      <c r="G143" s="12" t="s">
        <v>1141</v>
      </c>
    </row>
    <row r="144" spans="1:7" x14ac:dyDescent="0.2">
      <c r="A144" s="12" t="s">
        <v>431</v>
      </c>
      <c r="B144" s="12" t="s">
        <v>432</v>
      </c>
      <c r="E144" s="12">
        <v>0</v>
      </c>
      <c r="F144" s="12" t="s">
        <v>1060</v>
      </c>
      <c r="G144" s="12" t="s">
        <v>1060</v>
      </c>
    </row>
    <row r="145" spans="1:7" x14ac:dyDescent="0.2">
      <c r="A145" s="12" t="s">
        <v>433</v>
      </c>
      <c r="B145" s="12" t="s">
        <v>434</v>
      </c>
      <c r="C145" s="12" t="s">
        <v>435</v>
      </c>
      <c r="E145" s="12">
        <v>0</v>
      </c>
      <c r="F145" s="12" t="s">
        <v>1065</v>
      </c>
      <c r="G145" s="12" t="s">
        <v>1111</v>
      </c>
    </row>
    <row r="146" spans="1:7" x14ac:dyDescent="0.2">
      <c r="A146" s="12" t="s">
        <v>436</v>
      </c>
      <c r="B146" s="12" t="s">
        <v>437</v>
      </c>
      <c r="C146" s="12" t="s">
        <v>438</v>
      </c>
      <c r="E146" s="12">
        <v>0</v>
      </c>
      <c r="F146" s="12" t="s">
        <v>1063</v>
      </c>
      <c r="G146" s="12" t="s">
        <v>1198</v>
      </c>
    </row>
    <row r="147" spans="1:7" x14ac:dyDescent="0.2">
      <c r="A147" s="12" t="s">
        <v>439</v>
      </c>
      <c r="B147" s="12" t="s">
        <v>440</v>
      </c>
      <c r="D147" s="12" t="s">
        <v>441</v>
      </c>
      <c r="E147" s="12">
        <v>0</v>
      </c>
      <c r="F147" s="12" t="s">
        <v>1062</v>
      </c>
      <c r="G147" s="12" t="s">
        <v>1165</v>
      </c>
    </row>
    <row r="148" spans="1:7" x14ac:dyDescent="0.2">
      <c r="A148" s="12" t="s">
        <v>442</v>
      </c>
      <c r="B148" s="12" t="s">
        <v>443</v>
      </c>
      <c r="C148" s="12" t="s">
        <v>265</v>
      </c>
      <c r="D148" s="12" t="s">
        <v>444</v>
      </c>
      <c r="E148" s="12">
        <v>0</v>
      </c>
      <c r="F148" s="12" t="s">
        <v>1059</v>
      </c>
      <c r="G148" s="12" t="s">
        <v>1171</v>
      </c>
    </row>
    <row r="149" spans="1:7" x14ac:dyDescent="0.2">
      <c r="A149" s="12" t="s">
        <v>445</v>
      </c>
      <c r="B149" s="12" t="s">
        <v>446</v>
      </c>
      <c r="C149" s="12" t="s">
        <v>296</v>
      </c>
      <c r="E149" s="12">
        <v>0</v>
      </c>
      <c r="F149" s="12" t="s">
        <v>1064</v>
      </c>
      <c r="G149" s="12" t="s">
        <v>1137</v>
      </c>
    </row>
    <row r="150" spans="1:7" x14ac:dyDescent="0.2">
      <c r="A150" s="12" t="s">
        <v>447</v>
      </c>
      <c r="B150" s="12" t="s">
        <v>448</v>
      </c>
      <c r="C150" s="12" t="s">
        <v>449</v>
      </c>
      <c r="E150" s="12">
        <v>0</v>
      </c>
      <c r="F150" s="12" t="s">
        <v>1064</v>
      </c>
      <c r="G150" s="12" t="s">
        <v>1233</v>
      </c>
    </row>
    <row r="151" spans="1:7" x14ac:dyDescent="0.2">
      <c r="A151" s="12" t="s">
        <v>450</v>
      </c>
      <c r="B151" s="12" t="s">
        <v>451</v>
      </c>
      <c r="C151" s="12" t="s">
        <v>452</v>
      </c>
      <c r="E151" s="12">
        <v>0</v>
      </c>
      <c r="F151" s="12" t="s">
        <v>1064</v>
      </c>
      <c r="G151" s="12" t="s">
        <v>1116</v>
      </c>
    </row>
    <row r="152" spans="1:7" x14ac:dyDescent="0.2">
      <c r="A152" s="12" t="s">
        <v>453</v>
      </c>
      <c r="B152" s="12" t="s">
        <v>454</v>
      </c>
      <c r="C152" s="12" t="s">
        <v>455</v>
      </c>
      <c r="D152" s="12" t="s">
        <v>456</v>
      </c>
      <c r="E152" s="12">
        <v>0</v>
      </c>
      <c r="F152" s="12" t="s">
        <v>1061</v>
      </c>
      <c r="G152" s="12" t="s">
        <v>1085</v>
      </c>
    </row>
    <row r="153" spans="1:7" x14ac:dyDescent="0.2">
      <c r="A153" s="12" t="s">
        <v>457</v>
      </c>
      <c r="B153" s="12" t="s">
        <v>458</v>
      </c>
      <c r="C153" s="12" t="s">
        <v>459</v>
      </c>
      <c r="D153" s="12" t="s">
        <v>460</v>
      </c>
      <c r="E153" s="12">
        <v>0</v>
      </c>
      <c r="F153" s="12" t="s">
        <v>1062</v>
      </c>
      <c r="G153" s="12" t="s">
        <v>1298</v>
      </c>
    </row>
    <row r="154" spans="1:7" x14ac:dyDescent="0.2">
      <c r="A154" s="12" t="s">
        <v>461</v>
      </c>
      <c r="B154" s="12" t="s">
        <v>462</v>
      </c>
      <c r="C154" s="12" t="s">
        <v>355</v>
      </c>
      <c r="E154" s="12">
        <v>0</v>
      </c>
      <c r="F154" s="12" t="s">
        <v>1060</v>
      </c>
      <c r="G154" s="12" t="s">
        <v>1060</v>
      </c>
    </row>
    <row r="155" spans="1:7" x14ac:dyDescent="0.2">
      <c r="A155" s="12" t="s">
        <v>463</v>
      </c>
      <c r="B155" s="12" t="s">
        <v>464</v>
      </c>
      <c r="C155" s="12" t="s">
        <v>89</v>
      </c>
      <c r="D155" s="12" t="s">
        <v>224</v>
      </c>
      <c r="E155" s="12">
        <v>0</v>
      </c>
      <c r="F155" s="12" t="s">
        <v>1062</v>
      </c>
      <c r="G155" s="12" t="s">
        <v>1236</v>
      </c>
    </row>
    <row r="156" spans="1:7" x14ac:dyDescent="0.2">
      <c r="A156" s="12" t="s">
        <v>465</v>
      </c>
      <c r="B156" s="12" t="s">
        <v>466</v>
      </c>
      <c r="C156" s="12" t="s">
        <v>467</v>
      </c>
      <c r="D156" s="12" t="s">
        <v>26</v>
      </c>
      <c r="E156" s="12">
        <v>0</v>
      </c>
      <c r="F156" s="12" t="s">
        <v>1064</v>
      </c>
      <c r="G156" s="12" t="s">
        <v>1115</v>
      </c>
    </row>
    <row r="157" spans="1:7" x14ac:dyDescent="0.2">
      <c r="A157" s="12" t="s">
        <v>468</v>
      </c>
      <c r="B157" s="12" t="s">
        <v>469</v>
      </c>
      <c r="E157" s="12">
        <v>0</v>
      </c>
      <c r="G157" s="12" t="s">
        <v>1070</v>
      </c>
    </row>
    <row r="158" spans="1:7" x14ac:dyDescent="0.2">
      <c r="A158" s="12" t="s">
        <v>470</v>
      </c>
      <c r="B158" s="12" t="s">
        <v>471</v>
      </c>
      <c r="C158" s="12" t="s">
        <v>472</v>
      </c>
      <c r="E158" s="12">
        <v>0</v>
      </c>
      <c r="F158" s="12" t="s">
        <v>1061</v>
      </c>
      <c r="G158" s="12" t="s">
        <v>1087</v>
      </c>
    </row>
    <row r="159" spans="1:7" x14ac:dyDescent="0.2">
      <c r="A159" s="12" t="s">
        <v>473</v>
      </c>
      <c r="B159" s="12" t="s">
        <v>474</v>
      </c>
      <c r="E159" s="12">
        <v>0</v>
      </c>
      <c r="G159" s="12" t="s">
        <v>1070</v>
      </c>
    </row>
    <row r="160" spans="1:7" x14ac:dyDescent="0.2">
      <c r="A160" s="12" t="s">
        <v>475</v>
      </c>
      <c r="B160" s="12" t="s">
        <v>476</v>
      </c>
      <c r="C160" s="12" t="s">
        <v>477</v>
      </c>
      <c r="D160" s="12" t="s">
        <v>26</v>
      </c>
      <c r="E160" s="12">
        <v>0</v>
      </c>
      <c r="F160" s="12" t="s">
        <v>1064</v>
      </c>
      <c r="G160" s="12" t="s">
        <v>1299</v>
      </c>
    </row>
    <row r="161" spans="1:7" x14ac:dyDescent="0.2">
      <c r="A161" s="12" t="s">
        <v>478</v>
      </c>
      <c r="B161" s="12" t="s">
        <v>479</v>
      </c>
      <c r="D161" s="12" t="s">
        <v>480</v>
      </c>
      <c r="E161" s="12">
        <v>0</v>
      </c>
      <c r="F161" s="12" t="s">
        <v>1061</v>
      </c>
      <c r="G161" s="12" t="s">
        <v>1082</v>
      </c>
    </row>
    <row r="162" spans="1:7" x14ac:dyDescent="0.2">
      <c r="A162" s="12" t="s">
        <v>481</v>
      </c>
      <c r="B162" s="12" t="s">
        <v>482</v>
      </c>
      <c r="C162" s="12" t="s">
        <v>483</v>
      </c>
      <c r="D162" s="12" t="s">
        <v>484</v>
      </c>
      <c r="E162" s="12">
        <v>0</v>
      </c>
      <c r="F162" s="12" t="s">
        <v>1062</v>
      </c>
      <c r="G162" s="12" t="s">
        <v>1194</v>
      </c>
    </row>
    <row r="163" spans="1:7" x14ac:dyDescent="0.2">
      <c r="A163" s="12" t="s">
        <v>485</v>
      </c>
      <c r="B163" s="12" t="s">
        <v>486</v>
      </c>
      <c r="C163" s="12" t="s">
        <v>487</v>
      </c>
      <c r="E163" s="12">
        <v>0</v>
      </c>
      <c r="F163" s="12" t="s">
        <v>1067</v>
      </c>
      <c r="G163" s="12" t="s">
        <v>1108</v>
      </c>
    </row>
    <row r="164" spans="1:7" x14ac:dyDescent="0.2">
      <c r="A164" s="12" t="s">
        <v>488</v>
      </c>
      <c r="B164" s="12" t="s">
        <v>489</v>
      </c>
      <c r="C164" s="12" t="s">
        <v>490</v>
      </c>
      <c r="D164" s="12" t="s">
        <v>491</v>
      </c>
      <c r="E164" s="12">
        <v>0</v>
      </c>
      <c r="F164" s="12" t="s">
        <v>1065</v>
      </c>
      <c r="G164" s="12" t="s">
        <v>1118</v>
      </c>
    </row>
    <row r="165" spans="1:7" x14ac:dyDescent="0.2">
      <c r="A165" s="12" t="s">
        <v>492</v>
      </c>
      <c r="B165" s="12" t="s">
        <v>493</v>
      </c>
      <c r="C165" s="12" t="s">
        <v>494</v>
      </c>
      <c r="D165" s="12" t="s">
        <v>26</v>
      </c>
      <c r="E165" s="12">
        <v>0</v>
      </c>
      <c r="F165" s="12" t="s">
        <v>1061</v>
      </c>
      <c r="G165" s="12" t="s">
        <v>1098</v>
      </c>
    </row>
    <row r="166" spans="1:7" x14ac:dyDescent="0.2">
      <c r="A166" s="12" t="s">
        <v>495</v>
      </c>
      <c r="B166" s="12" t="s">
        <v>496</v>
      </c>
      <c r="C166" s="12" t="s">
        <v>497</v>
      </c>
      <c r="D166" s="12" t="s">
        <v>498</v>
      </c>
      <c r="E166" s="12">
        <v>0</v>
      </c>
      <c r="F166" s="12" t="s">
        <v>1067</v>
      </c>
      <c r="G166" s="12" t="s">
        <v>1143</v>
      </c>
    </row>
    <row r="167" spans="1:7" x14ac:dyDescent="0.2">
      <c r="A167" s="12" t="s">
        <v>499</v>
      </c>
      <c r="B167" s="12" t="s">
        <v>500</v>
      </c>
      <c r="C167" s="12" t="s">
        <v>501</v>
      </c>
      <c r="D167" s="12" t="s">
        <v>502</v>
      </c>
      <c r="E167" s="12">
        <v>0</v>
      </c>
      <c r="F167" s="12" t="s">
        <v>1063</v>
      </c>
      <c r="G167" s="12" t="s">
        <v>1198</v>
      </c>
    </row>
    <row r="168" spans="1:7" x14ac:dyDescent="0.2">
      <c r="A168" s="12" t="s">
        <v>503</v>
      </c>
      <c r="B168" s="12" t="s">
        <v>504</v>
      </c>
      <c r="C168" s="12" t="s">
        <v>505</v>
      </c>
      <c r="E168" s="12">
        <v>0</v>
      </c>
      <c r="F168" s="12" t="s">
        <v>1067</v>
      </c>
      <c r="G168" s="12" t="s">
        <v>1096</v>
      </c>
    </row>
    <row r="169" spans="1:7" x14ac:dyDescent="0.2">
      <c r="A169" s="12" t="s">
        <v>506</v>
      </c>
      <c r="B169" s="12" t="s">
        <v>507</v>
      </c>
      <c r="C169" s="12" t="s">
        <v>508</v>
      </c>
      <c r="E169" s="12">
        <v>0</v>
      </c>
      <c r="F169" s="12" t="s">
        <v>1064</v>
      </c>
      <c r="G169" s="12" t="s">
        <v>1135</v>
      </c>
    </row>
    <row r="170" spans="1:7" x14ac:dyDescent="0.2">
      <c r="A170" s="12" t="s">
        <v>509</v>
      </c>
      <c r="B170" s="12" t="s">
        <v>510</v>
      </c>
      <c r="C170" s="12" t="s">
        <v>511</v>
      </c>
      <c r="D170" s="12" t="s">
        <v>512</v>
      </c>
      <c r="E170" s="12">
        <v>0</v>
      </c>
      <c r="F170" s="12" t="s">
        <v>1059</v>
      </c>
      <c r="G170" s="12" t="s">
        <v>1150</v>
      </c>
    </row>
    <row r="171" spans="1:7" x14ac:dyDescent="0.2">
      <c r="A171" s="12" t="s">
        <v>513</v>
      </c>
      <c r="B171" s="12" t="s">
        <v>514</v>
      </c>
      <c r="C171" s="12" t="s">
        <v>25</v>
      </c>
      <c r="D171" s="12" t="s">
        <v>515</v>
      </c>
      <c r="E171" s="12">
        <v>0</v>
      </c>
      <c r="F171" s="12" t="s">
        <v>1067</v>
      </c>
      <c r="G171" s="12" t="s">
        <v>1104</v>
      </c>
    </row>
    <row r="172" spans="1:7" x14ac:dyDescent="0.2">
      <c r="A172" s="12" t="s">
        <v>516</v>
      </c>
      <c r="B172" s="12" t="s">
        <v>517</v>
      </c>
      <c r="C172" s="12" t="s">
        <v>211</v>
      </c>
      <c r="D172" s="12" t="s">
        <v>518</v>
      </c>
      <c r="E172" s="12">
        <v>0</v>
      </c>
      <c r="F172" s="12" t="s">
        <v>1062</v>
      </c>
      <c r="G172" s="12" t="s">
        <v>1237</v>
      </c>
    </row>
    <row r="173" spans="1:7" x14ac:dyDescent="0.2">
      <c r="A173" s="12" t="s">
        <v>519</v>
      </c>
      <c r="B173" s="12" t="s">
        <v>520</v>
      </c>
      <c r="C173" s="12" t="s">
        <v>521</v>
      </c>
      <c r="D173" s="12" t="s">
        <v>522</v>
      </c>
      <c r="E173" s="12">
        <v>0</v>
      </c>
      <c r="F173" s="12" t="s">
        <v>1067</v>
      </c>
      <c r="G173" s="12" t="s">
        <v>1089</v>
      </c>
    </row>
    <row r="174" spans="1:7" x14ac:dyDescent="0.2">
      <c r="A174" s="12" t="s">
        <v>523</v>
      </c>
      <c r="B174" s="12" t="s">
        <v>524</v>
      </c>
      <c r="C174" s="12" t="s">
        <v>89</v>
      </c>
      <c r="E174" s="12">
        <v>0</v>
      </c>
      <c r="F174" s="12" t="s">
        <v>1063</v>
      </c>
      <c r="G174" s="12" t="s">
        <v>1224</v>
      </c>
    </row>
    <row r="175" spans="1:7" x14ac:dyDescent="0.2">
      <c r="A175" s="12" t="s">
        <v>525</v>
      </c>
      <c r="B175" s="12" t="s">
        <v>526</v>
      </c>
      <c r="C175" s="12" t="s">
        <v>527</v>
      </c>
      <c r="D175" s="12" t="s">
        <v>134</v>
      </c>
      <c r="E175" s="12">
        <v>0</v>
      </c>
      <c r="F175" s="12" t="s">
        <v>1059</v>
      </c>
      <c r="G175" s="12" t="s">
        <v>1151</v>
      </c>
    </row>
    <row r="176" spans="1:7" x14ac:dyDescent="0.2">
      <c r="A176" s="12" t="s">
        <v>528</v>
      </c>
      <c r="B176" s="12" t="s">
        <v>529</v>
      </c>
      <c r="E176" s="12">
        <v>0</v>
      </c>
      <c r="G176" s="12" t="s">
        <v>1070</v>
      </c>
    </row>
    <row r="177" spans="1:7" x14ac:dyDescent="0.2">
      <c r="A177" s="12" t="s">
        <v>530</v>
      </c>
      <c r="B177" s="12" t="s">
        <v>531</v>
      </c>
      <c r="C177" s="12" t="s">
        <v>532</v>
      </c>
      <c r="E177" s="12">
        <v>0</v>
      </c>
      <c r="F177" s="12" t="s">
        <v>1061</v>
      </c>
      <c r="G177" s="12" t="s">
        <v>1084</v>
      </c>
    </row>
    <row r="178" spans="1:7" x14ac:dyDescent="0.2">
      <c r="A178" s="12" t="s">
        <v>533</v>
      </c>
      <c r="B178" s="12" t="s">
        <v>534</v>
      </c>
      <c r="C178" s="12" t="s">
        <v>535</v>
      </c>
      <c r="D178" s="12" t="s">
        <v>536</v>
      </c>
      <c r="E178" s="12">
        <v>0</v>
      </c>
      <c r="F178" s="12" t="s">
        <v>1069</v>
      </c>
      <c r="G178" s="12" t="s">
        <v>1138</v>
      </c>
    </row>
    <row r="179" spans="1:7" x14ac:dyDescent="0.2">
      <c r="A179" s="12" t="s">
        <v>537</v>
      </c>
      <c r="B179" s="12" t="s">
        <v>538</v>
      </c>
      <c r="C179" s="12" t="s">
        <v>19</v>
      </c>
      <c r="E179" s="12">
        <v>0</v>
      </c>
      <c r="F179" s="12" t="s">
        <v>1060</v>
      </c>
      <c r="G179" s="12" t="s">
        <v>1060</v>
      </c>
    </row>
    <row r="180" spans="1:7" x14ac:dyDescent="0.2">
      <c r="A180" s="12" t="s">
        <v>539</v>
      </c>
      <c r="B180" s="12" t="s">
        <v>540</v>
      </c>
      <c r="C180" s="12" t="s">
        <v>541</v>
      </c>
      <c r="D180" s="12" t="s">
        <v>60</v>
      </c>
      <c r="E180" s="12">
        <v>0</v>
      </c>
      <c r="F180" s="12" t="s">
        <v>1063</v>
      </c>
      <c r="G180" s="12" t="s">
        <v>1202</v>
      </c>
    </row>
    <row r="181" spans="1:7" x14ac:dyDescent="0.2">
      <c r="A181" s="12" t="s">
        <v>542</v>
      </c>
      <c r="B181" s="12" t="s">
        <v>543</v>
      </c>
      <c r="C181" s="12" t="s">
        <v>92</v>
      </c>
      <c r="D181" s="12" t="s">
        <v>544</v>
      </c>
      <c r="E181" s="12">
        <v>0</v>
      </c>
      <c r="F181" s="12" t="s">
        <v>1067</v>
      </c>
      <c r="G181" s="12" t="s">
        <v>1152</v>
      </c>
    </row>
    <row r="182" spans="1:7" x14ac:dyDescent="0.2">
      <c r="A182" s="12" t="s">
        <v>545</v>
      </c>
      <c r="B182" s="12" t="s">
        <v>546</v>
      </c>
      <c r="C182" s="12" t="s">
        <v>547</v>
      </c>
      <c r="D182" s="12" t="s">
        <v>60</v>
      </c>
      <c r="E182" s="12">
        <v>0</v>
      </c>
      <c r="F182" s="12" t="s">
        <v>1063</v>
      </c>
      <c r="G182" s="12" t="s">
        <v>1221</v>
      </c>
    </row>
    <row r="183" spans="1:7" x14ac:dyDescent="0.2">
      <c r="A183" s="12" t="s">
        <v>548</v>
      </c>
      <c r="B183" s="12" t="s">
        <v>549</v>
      </c>
      <c r="C183" s="12" t="s">
        <v>550</v>
      </c>
      <c r="E183" s="12">
        <v>0</v>
      </c>
      <c r="F183" s="12" t="s">
        <v>1059</v>
      </c>
      <c r="G183" s="12" t="s">
        <v>1174</v>
      </c>
    </row>
    <row r="184" spans="1:7" x14ac:dyDescent="0.2">
      <c r="A184" s="12" t="s">
        <v>551</v>
      </c>
      <c r="B184" s="12" t="s">
        <v>552</v>
      </c>
      <c r="C184" s="12" t="s">
        <v>553</v>
      </c>
      <c r="D184" s="12" t="s">
        <v>554</v>
      </c>
      <c r="E184" s="12">
        <v>0</v>
      </c>
      <c r="F184" s="12" t="s">
        <v>1059</v>
      </c>
      <c r="G184" s="12" t="s">
        <v>1153</v>
      </c>
    </row>
    <row r="185" spans="1:7" x14ac:dyDescent="0.2">
      <c r="A185" s="12" t="s">
        <v>555</v>
      </c>
      <c r="B185" s="12" t="s">
        <v>556</v>
      </c>
      <c r="C185" s="12" t="s">
        <v>557</v>
      </c>
      <c r="E185" s="12">
        <v>0</v>
      </c>
      <c r="F185" s="12" t="s">
        <v>1061</v>
      </c>
      <c r="G185" s="12" t="s">
        <v>1083</v>
      </c>
    </row>
    <row r="186" spans="1:7" x14ac:dyDescent="0.2">
      <c r="A186" s="12" t="s">
        <v>558</v>
      </c>
      <c r="B186" s="12" t="s">
        <v>559</v>
      </c>
      <c r="C186" s="12" t="s">
        <v>560</v>
      </c>
      <c r="D186" s="12" t="s">
        <v>561</v>
      </c>
      <c r="E186" s="12">
        <v>0</v>
      </c>
      <c r="F186" s="12" t="s">
        <v>1059</v>
      </c>
      <c r="G186" s="12" t="s">
        <v>1177</v>
      </c>
    </row>
    <row r="187" spans="1:7" x14ac:dyDescent="0.2">
      <c r="A187" s="12" t="s">
        <v>562</v>
      </c>
      <c r="B187" s="12" t="s">
        <v>563</v>
      </c>
      <c r="C187" s="12" t="s">
        <v>25</v>
      </c>
      <c r="D187" s="12" t="s">
        <v>564</v>
      </c>
      <c r="E187" s="12">
        <v>0</v>
      </c>
      <c r="F187" s="12" t="s">
        <v>1067</v>
      </c>
      <c r="G187" s="12" t="s">
        <v>1106</v>
      </c>
    </row>
    <row r="188" spans="1:7" x14ac:dyDescent="0.2">
      <c r="A188" s="12" t="s">
        <v>565</v>
      </c>
      <c r="B188" s="12" t="s">
        <v>566</v>
      </c>
      <c r="E188" s="12">
        <v>0</v>
      </c>
      <c r="F188" s="12" t="s">
        <v>1060</v>
      </c>
      <c r="G188" s="12" t="s">
        <v>1060</v>
      </c>
    </row>
    <row r="189" spans="1:7" x14ac:dyDescent="0.2">
      <c r="A189" s="12" t="s">
        <v>567</v>
      </c>
      <c r="B189" s="12" t="s">
        <v>568</v>
      </c>
      <c r="C189" s="12" t="s">
        <v>569</v>
      </c>
      <c r="E189" s="12">
        <v>0</v>
      </c>
      <c r="F189" s="12" t="s">
        <v>1059</v>
      </c>
      <c r="G189" s="12" t="s">
        <v>1145</v>
      </c>
    </row>
    <row r="190" spans="1:7" x14ac:dyDescent="0.2">
      <c r="A190" s="12" t="s">
        <v>570</v>
      </c>
      <c r="B190" s="12" t="s">
        <v>571</v>
      </c>
      <c r="E190" s="12">
        <v>0</v>
      </c>
      <c r="G190" s="12" t="s">
        <v>1070</v>
      </c>
    </row>
    <row r="191" spans="1:7" x14ac:dyDescent="0.2">
      <c r="A191" s="12" t="s">
        <v>572</v>
      </c>
      <c r="B191" s="12" t="s">
        <v>573</v>
      </c>
      <c r="C191" s="12" t="s">
        <v>574</v>
      </c>
      <c r="E191" s="12">
        <v>0</v>
      </c>
      <c r="F191" s="12" t="s">
        <v>1061</v>
      </c>
      <c r="G191" s="12" t="s">
        <v>1098</v>
      </c>
    </row>
    <row r="192" spans="1:7" x14ac:dyDescent="0.2">
      <c r="A192" s="12" t="s">
        <v>575</v>
      </c>
      <c r="B192" s="12" t="s">
        <v>576</v>
      </c>
      <c r="C192" s="12" t="s">
        <v>89</v>
      </c>
      <c r="E192" s="12">
        <v>0</v>
      </c>
      <c r="F192" s="12" t="s">
        <v>1063</v>
      </c>
      <c r="G192" s="12" t="s">
        <v>1224</v>
      </c>
    </row>
    <row r="193" spans="1:7" x14ac:dyDescent="0.2">
      <c r="A193" s="12" t="s">
        <v>577</v>
      </c>
      <c r="B193" s="12" t="s">
        <v>578</v>
      </c>
      <c r="C193" s="12" t="s">
        <v>579</v>
      </c>
      <c r="D193" s="12" t="s">
        <v>580</v>
      </c>
      <c r="E193" s="12">
        <v>0</v>
      </c>
      <c r="F193" s="12" t="s">
        <v>1061</v>
      </c>
      <c r="G193" s="12" t="s">
        <v>1072</v>
      </c>
    </row>
    <row r="194" spans="1:7" x14ac:dyDescent="0.2">
      <c r="A194" s="12" t="s">
        <v>581</v>
      </c>
      <c r="B194" s="12" t="s">
        <v>582</v>
      </c>
      <c r="C194" s="12" t="s">
        <v>583</v>
      </c>
      <c r="E194" s="12">
        <v>0</v>
      </c>
      <c r="F194" s="12" t="s">
        <v>1060</v>
      </c>
      <c r="G194" s="12" t="s">
        <v>1060</v>
      </c>
    </row>
    <row r="195" spans="1:7" x14ac:dyDescent="0.2">
      <c r="A195" s="12" t="s">
        <v>584</v>
      </c>
      <c r="B195" s="12" t="s">
        <v>585</v>
      </c>
      <c r="C195" s="12" t="s">
        <v>586</v>
      </c>
      <c r="D195" s="12" t="s">
        <v>587</v>
      </c>
      <c r="E195" s="12">
        <v>0</v>
      </c>
      <c r="F195" s="12" t="s">
        <v>1059</v>
      </c>
      <c r="G195" s="12" t="s">
        <v>1159</v>
      </c>
    </row>
    <row r="196" spans="1:7" x14ac:dyDescent="0.2">
      <c r="A196" s="12" t="s">
        <v>588</v>
      </c>
      <c r="B196" s="12" t="s">
        <v>589</v>
      </c>
      <c r="C196" s="12" t="s">
        <v>590</v>
      </c>
      <c r="E196" s="12">
        <v>0</v>
      </c>
      <c r="F196" s="12" t="s">
        <v>1060</v>
      </c>
      <c r="G196" s="12" t="s">
        <v>1060</v>
      </c>
    </row>
    <row r="197" spans="1:7" x14ac:dyDescent="0.2">
      <c r="A197" s="12" t="s">
        <v>591</v>
      </c>
      <c r="B197" s="12" t="s">
        <v>592</v>
      </c>
      <c r="C197" s="12" t="s">
        <v>593</v>
      </c>
      <c r="D197" s="12" t="s">
        <v>594</v>
      </c>
      <c r="E197" s="12">
        <v>0</v>
      </c>
      <c r="F197" s="12" t="s">
        <v>1063</v>
      </c>
      <c r="G197" s="12" t="s">
        <v>1186</v>
      </c>
    </row>
    <row r="198" spans="1:7" x14ac:dyDescent="0.2">
      <c r="A198" s="12" t="s">
        <v>595</v>
      </c>
      <c r="B198" s="12" t="s">
        <v>596</v>
      </c>
      <c r="D198" s="12" t="s">
        <v>597</v>
      </c>
      <c r="E198" s="12">
        <v>0</v>
      </c>
      <c r="F198" s="12" t="s">
        <v>1059</v>
      </c>
      <c r="G198" s="12" t="s">
        <v>1157</v>
      </c>
    </row>
    <row r="199" spans="1:7" x14ac:dyDescent="0.2">
      <c r="A199" s="12" t="s">
        <v>598</v>
      </c>
      <c r="B199" s="12" t="s">
        <v>599</v>
      </c>
      <c r="C199" s="12" t="s">
        <v>527</v>
      </c>
      <c r="D199" s="12" t="s">
        <v>600</v>
      </c>
      <c r="E199" s="12">
        <v>0</v>
      </c>
      <c r="F199" s="12" t="s">
        <v>1059</v>
      </c>
      <c r="G199" s="12" t="s">
        <v>1158</v>
      </c>
    </row>
    <row r="200" spans="1:7" x14ac:dyDescent="0.2">
      <c r="A200" s="12" t="s">
        <v>601</v>
      </c>
      <c r="B200" s="12" t="s">
        <v>602</v>
      </c>
      <c r="C200" s="12" t="s">
        <v>603</v>
      </c>
      <c r="D200" s="12" t="s">
        <v>604</v>
      </c>
      <c r="E200" s="12">
        <v>0</v>
      </c>
      <c r="F200" s="12" t="s">
        <v>1063</v>
      </c>
      <c r="G200" s="12" t="s">
        <v>1224</v>
      </c>
    </row>
    <row r="201" spans="1:7" x14ac:dyDescent="0.2">
      <c r="A201" s="12" t="s">
        <v>605</v>
      </c>
      <c r="B201" s="12" t="s">
        <v>606</v>
      </c>
      <c r="C201" s="12" t="s">
        <v>607</v>
      </c>
      <c r="D201" s="12" t="s">
        <v>608</v>
      </c>
      <c r="E201" s="12">
        <v>0</v>
      </c>
      <c r="F201" s="12" t="s">
        <v>1069</v>
      </c>
      <c r="G201" s="12" t="s">
        <v>1139</v>
      </c>
    </row>
    <row r="202" spans="1:7" x14ac:dyDescent="0.2">
      <c r="A202" s="12" t="s">
        <v>609</v>
      </c>
      <c r="B202" s="12" t="s">
        <v>610</v>
      </c>
      <c r="C202" s="12" t="s">
        <v>611</v>
      </c>
      <c r="D202" s="12" t="s">
        <v>612</v>
      </c>
      <c r="E202" s="12">
        <v>0</v>
      </c>
      <c r="F202" s="12" t="s">
        <v>1059</v>
      </c>
      <c r="G202" s="12" t="s">
        <v>1157</v>
      </c>
    </row>
    <row r="203" spans="1:7" x14ac:dyDescent="0.2">
      <c r="A203" s="12" t="s">
        <v>613</v>
      </c>
      <c r="B203" s="12" t="s">
        <v>614</v>
      </c>
      <c r="C203" s="12" t="s">
        <v>615</v>
      </c>
      <c r="E203" s="12">
        <v>0</v>
      </c>
      <c r="F203" s="12" t="s">
        <v>1067</v>
      </c>
      <c r="G203" s="12" t="s">
        <v>1300</v>
      </c>
    </row>
    <row r="204" spans="1:7" x14ac:dyDescent="0.2">
      <c r="A204" s="12" t="s">
        <v>616</v>
      </c>
      <c r="B204" s="12" t="s">
        <v>617</v>
      </c>
      <c r="C204" s="12" t="s">
        <v>618</v>
      </c>
      <c r="E204" s="12">
        <v>0</v>
      </c>
      <c r="F204" s="12" t="s">
        <v>1063</v>
      </c>
      <c r="G204" s="12" t="s">
        <v>1211</v>
      </c>
    </row>
    <row r="205" spans="1:7" x14ac:dyDescent="0.2">
      <c r="A205" s="12" t="s">
        <v>619</v>
      </c>
      <c r="B205" s="12" t="s">
        <v>620</v>
      </c>
      <c r="C205" s="12" t="s">
        <v>621</v>
      </c>
      <c r="D205" s="12" t="s">
        <v>622</v>
      </c>
      <c r="E205" s="12">
        <v>0</v>
      </c>
      <c r="F205" s="12" t="s">
        <v>1062</v>
      </c>
      <c r="G205" s="12" t="s">
        <v>1189</v>
      </c>
    </row>
    <row r="206" spans="1:7" x14ac:dyDescent="0.2">
      <c r="A206" s="12" t="s">
        <v>623</v>
      </c>
      <c r="B206" s="12" t="s">
        <v>624</v>
      </c>
      <c r="C206" s="12" t="s">
        <v>625</v>
      </c>
      <c r="D206" s="12" t="s">
        <v>626</v>
      </c>
      <c r="E206" s="12">
        <v>0</v>
      </c>
      <c r="F206" s="12" t="s">
        <v>1060</v>
      </c>
      <c r="G206" s="12" t="s">
        <v>1060</v>
      </c>
    </row>
    <row r="207" spans="1:7" x14ac:dyDescent="0.2">
      <c r="A207" s="12" t="s">
        <v>627</v>
      </c>
      <c r="B207" s="12" t="s">
        <v>628</v>
      </c>
      <c r="C207" s="12" t="s">
        <v>629</v>
      </c>
      <c r="D207" s="12" t="s">
        <v>630</v>
      </c>
      <c r="E207" s="12">
        <v>0</v>
      </c>
      <c r="F207" s="12" t="s">
        <v>1062</v>
      </c>
      <c r="G207" s="12" t="s">
        <v>1227</v>
      </c>
    </row>
    <row r="208" spans="1:7" x14ac:dyDescent="0.2">
      <c r="A208" s="12" t="s">
        <v>631</v>
      </c>
      <c r="B208" s="12" t="s">
        <v>632</v>
      </c>
      <c r="D208" s="12" t="s">
        <v>633</v>
      </c>
      <c r="E208" s="12">
        <v>0</v>
      </c>
      <c r="F208" s="12" t="s">
        <v>1062</v>
      </c>
      <c r="G208" s="12" t="s">
        <v>1191</v>
      </c>
    </row>
    <row r="209" spans="1:7" x14ac:dyDescent="0.2">
      <c r="A209" s="12" t="s">
        <v>634</v>
      </c>
      <c r="B209" s="12" t="s">
        <v>635</v>
      </c>
      <c r="C209" s="12" t="s">
        <v>636</v>
      </c>
      <c r="E209" s="12">
        <v>0</v>
      </c>
      <c r="F209" s="12" t="s">
        <v>1061</v>
      </c>
      <c r="G209" s="12" t="s">
        <v>1087</v>
      </c>
    </row>
    <row r="210" spans="1:7" x14ac:dyDescent="0.2">
      <c r="A210" s="12" t="s">
        <v>637</v>
      </c>
      <c r="B210" s="12" t="s">
        <v>638</v>
      </c>
      <c r="C210" s="12" t="s">
        <v>629</v>
      </c>
      <c r="D210" s="12" t="s">
        <v>316</v>
      </c>
      <c r="E210" s="12">
        <v>0</v>
      </c>
      <c r="F210" s="12" t="s">
        <v>1063</v>
      </c>
      <c r="G210" s="12" t="s">
        <v>1229</v>
      </c>
    </row>
    <row r="211" spans="1:7" x14ac:dyDescent="0.2">
      <c r="A211" s="12" t="s">
        <v>639</v>
      </c>
      <c r="B211" s="12" t="s">
        <v>640</v>
      </c>
      <c r="E211" s="12">
        <v>0</v>
      </c>
      <c r="G211" s="12" t="s">
        <v>1070</v>
      </c>
    </row>
    <row r="212" spans="1:7" x14ac:dyDescent="0.2">
      <c r="A212" s="12" t="s">
        <v>641</v>
      </c>
      <c r="B212" s="12" t="s">
        <v>642</v>
      </c>
      <c r="D212" s="12" t="s">
        <v>643</v>
      </c>
      <c r="E212" s="12">
        <v>0</v>
      </c>
      <c r="F212" s="12" t="s">
        <v>1059</v>
      </c>
      <c r="G212" s="12" t="s">
        <v>1154</v>
      </c>
    </row>
    <row r="213" spans="1:7" x14ac:dyDescent="0.2">
      <c r="A213" s="12" t="s">
        <v>644</v>
      </c>
      <c r="B213" s="12" t="s">
        <v>645</v>
      </c>
      <c r="C213" s="12" t="s">
        <v>646</v>
      </c>
      <c r="D213" s="12" t="s">
        <v>60</v>
      </c>
      <c r="E213" s="12">
        <v>0</v>
      </c>
      <c r="F213" s="12" t="s">
        <v>1063</v>
      </c>
      <c r="G213" s="12" t="s">
        <v>1215</v>
      </c>
    </row>
    <row r="214" spans="1:7" x14ac:dyDescent="0.2">
      <c r="A214" s="12" t="s">
        <v>647</v>
      </c>
      <c r="B214" s="12" t="s">
        <v>648</v>
      </c>
      <c r="C214" s="12" t="s">
        <v>649</v>
      </c>
      <c r="D214" s="12" t="s">
        <v>60</v>
      </c>
      <c r="E214" s="12">
        <v>0</v>
      </c>
      <c r="F214" s="12" t="s">
        <v>1064</v>
      </c>
      <c r="G214" s="12" t="s">
        <v>1203</v>
      </c>
    </row>
    <row r="215" spans="1:7" x14ac:dyDescent="0.2">
      <c r="A215" s="12" t="s">
        <v>650</v>
      </c>
      <c r="B215" s="12" t="s">
        <v>651</v>
      </c>
      <c r="C215" s="12" t="s">
        <v>652</v>
      </c>
      <c r="E215" s="12">
        <v>0</v>
      </c>
      <c r="F215" s="12" t="s">
        <v>1063</v>
      </c>
      <c r="G215" s="12" t="s">
        <v>1230</v>
      </c>
    </row>
    <row r="216" spans="1:7" x14ac:dyDescent="0.2">
      <c r="A216" s="12" t="s">
        <v>653</v>
      </c>
      <c r="B216" s="12" t="s">
        <v>654</v>
      </c>
      <c r="E216" s="12">
        <v>0</v>
      </c>
      <c r="G216" s="12" t="s">
        <v>1070</v>
      </c>
    </row>
    <row r="217" spans="1:7" x14ac:dyDescent="0.2">
      <c r="A217" s="12" t="s">
        <v>655</v>
      </c>
      <c r="B217" s="12" t="s">
        <v>656</v>
      </c>
      <c r="C217" s="12" t="s">
        <v>657</v>
      </c>
      <c r="D217" s="12" t="s">
        <v>658</v>
      </c>
      <c r="E217" s="12">
        <v>0</v>
      </c>
      <c r="F217" s="12" t="s">
        <v>1063</v>
      </c>
      <c r="G217" s="12" t="s">
        <v>1184</v>
      </c>
    </row>
    <row r="218" spans="1:7" x14ac:dyDescent="0.2">
      <c r="A218" s="12" t="s">
        <v>659</v>
      </c>
      <c r="B218" s="12" t="s">
        <v>660</v>
      </c>
      <c r="C218" s="12" t="s">
        <v>299</v>
      </c>
      <c r="D218" s="12" t="s">
        <v>661</v>
      </c>
      <c r="E218" s="12">
        <v>0</v>
      </c>
      <c r="F218" s="12" t="s">
        <v>1067</v>
      </c>
      <c r="G218" s="12" t="s">
        <v>1127</v>
      </c>
    </row>
    <row r="219" spans="1:7" x14ac:dyDescent="0.2">
      <c r="A219" s="12" t="s">
        <v>662</v>
      </c>
      <c r="B219" s="12" t="s">
        <v>663</v>
      </c>
      <c r="C219" s="12" t="s">
        <v>25</v>
      </c>
      <c r="D219" s="12" t="s">
        <v>664</v>
      </c>
      <c r="E219" s="12">
        <v>0</v>
      </c>
      <c r="F219" s="12" t="s">
        <v>1067</v>
      </c>
      <c r="G219" s="12" t="s">
        <v>1104</v>
      </c>
    </row>
    <row r="220" spans="1:7" x14ac:dyDescent="0.2">
      <c r="A220" s="12" t="s">
        <v>665</v>
      </c>
      <c r="B220" s="12" t="s">
        <v>666</v>
      </c>
      <c r="C220" s="12" t="s">
        <v>667</v>
      </c>
      <c r="E220" s="12">
        <v>0</v>
      </c>
      <c r="F220" s="12" t="s">
        <v>1062</v>
      </c>
      <c r="G220" s="12" t="s">
        <v>1206</v>
      </c>
    </row>
    <row r="221" spans="1:7" x14ac:dyDescent="0.2">
      <c r="A221" s="12" t="s">
        <v>668</v>
      </c>
      <c r="B221" s="12" t="s">
        <v>669</v>
      </c>
      <c r="D221" s="12" t="s">
        <v>670</v>
      </c>
      <c r="E221" s="12">
        <v>0</v>
      </c>
      <c r="F221" s="12" t="s">
        <v>1059</v>
      </c>
      <c r="G221" s="12" t="s">
        <v>1157</v>
      </c>
    </row>
    <row r="222" spans="1:7" x14ac:dyDescent="0.2">
      <c r="A222" s="12" t="s">
        <v>671</v>
      </c>
      <c r="B222" s="12" t="s">
        <v>672</v>
      </c>
      <c r="E222" s="12">
        <v>0</v>
      </c>
      <c r="G222" s="12" t="s">
        <v>1070</v>
      </c>
    </row>
    <row r="223" spans="1:7" x14ac:dyDescent="0.2">
      <c r="A223" s="12" t="s">
        <v>673</v>
      </c>
      <c r="B223" s="12" t="s">
        <v>674</v>
      </c>
      <c r="C223" s="12" t="s">
        <v>675</v>
      </c>
      <c r="D223" s="12" t="s">
        <v>676</v>
      </c>
      <c r="E223" s="12">
        <v>0</v>
      </c>
      <c r="F223" s="12" t="s">
        <v>1062</v>
      </c>
      <c r="G223" s="12" t="s">
        <v>1207</v>
      </c>
    </row>
    <row r="224" spans="1:7" x14ac:dyDescent="0.2">
      <c r="A224" s="12" t="s">
        <v>677</v>
      </c>
      <c r="B224" s="12" t="s">
        <v>678</v>
      </c>
      <c r="D224" s="12" t="s">
        <v>679</v>
      </c>
      <c r="E224" s="12">
        <v>0</v>
      </c>
      <c r="F224" s="12" t="s">
        <v>1059</v>
      </c>
      <c r="G224" s="12" t="s">
        <v>1154</v>
      </c>
    </row>
    <row r="225" spans="1:7" x14ac:dyDescent="0.2">
      <c r="A225" s="12" t="s">
        <v>680</v>
      </c>
      <c r="B225" s="12" t="s">
        <v>681</v>
      </c>
      <c r="C225" s="12" t="s">
        <v>92</v>
      </c>
      <c r="D225" s="12" t="s">
        <v>544</v>
      </c>
      <c r="E225" s="12">
        <v>0</v>
      </c>
      <c r="F225" s="12" t="s">
        <v>1067</v>
      </c>
      <c r="G225" s="12" t="s">
        <v>1127</v>
      </c>
    </row>
    <row r="226" spans="1:7" x14ac:dyDescent="0.2">
      <c r="A226" s="12" t="s">
        <v>682</v>
      </c>
      <c r="B226" s="12" t="s">
        <v>683</v>
      </c>
      <c r="C226" s="12" t="s">
        <v>684</v>
      </c>
      <c r="D226" s="12" t="s">
        <v>685</v>
      </c>
      <c r="E226" s="12">
        <v>0</v>
      </c>
      <c r="F226" s="12" t="s">
        <v>1062</v>
      </c>
      <c r="G226" s="12" t="s">
        <v>1190</v>
      </c>
    </row>
    <row r="227" spans="1:7" x14ac:dyDescent="0.2">
      <c r="A227" s="12" t="s">
        <v>686</v>
      </c>
      <c r="B227" s="12" t="s">
        <v>687</v>
      </c>
      <c r="C227" s="12" t="s">
        <v>688</v>
      </c>
      <c r="D227" s="12" t="s">
        <v>689</v>
      </c>
      <c r="E227" s="12">
        <v>0</v>
      </c>
      <c r="F227" s="12" t="s">
        <v>1062</v>
      </c>
      <c r="G227" s="12" t="s">
        <v>1199</v>
      </c>
    </row>
    <row r="228" spans="1:7" x14ac:dyDescent="0.2">
      <c r="A228" s="12" t="s">
        <v>690</v>
      </c>
      <c r="B228" s="12" t="s">
        <v>691</v>
      </c>
      <c r="C228" s="12" t="s">
        <v>692</v>
      </c>
      <c r="E228" s="12">
        <v>0</v>
      </c>
      <c r="F228" s="12" t="s">
        <v>1061</v>
      </c>
      <c r="G228" s="12" t="s">
        <v>1083</v>
      </c>
    </row>
    <row r="229" spans="1:7" x14ac:dyDescent="0.2">
      <c r="A229" s="12" t="s">
        <v>693</v>
      </c>
      <c r="B229" s="12" t="s">
        <v>694</v>
      </c>
      <c r="C229" s="12" t="s">
        <v>695</v>
      </c>
      <c r="D229" s="12" t="s">
        <v>696</v>
      </c>
      <c r="E229" s="12">
        <v>0</v>
      </c>
      <c r="F229" s="12" t="s">
        <v>1062</v>
      </c>
      <c r="G229" s="12" t="s">
        <v>1232</v>
      </c>
    </row>
    <row r="230" spans="1:7" x14ac:dyDescent="0.2">
      <c r="A230" s="12" t="s">
        <v>697</v>
      </c>
      <c r="B230" s="12" t="s">
        <v>698</v>
      </c>
      <c r="C230" s="12" t="s">
        <v>699</v>
      </c>
      <c r="D230" s="12" t="s">
        <v>700</v>
      </c>
      <c r="E230" s="12">
        <v>0</v>
      </c>
      <c r="F230" s="12" t="s">
        <v>1067</v>
      </c>
      <c r="G230" s="12" t="s">
        <v>1132</v>
      </c>
    </row>
    <row r="231" spans="1:7" x14ac:dyDescent="0.2">
      <c r="A231" s="12" t="s">
        <v>701</v>
      </c>
      <c r="B231" s="12" t="s">
        <v>702</v>
      </c>
      <c r="E231" s="12">
        <v>0</v>
      </c>
      <c r="G231" s="12" t="s">
        <v>1070</v>
      </c>
    </row>
    <row r="232" spans="1:7" x14ac:dyDescent="0.2">
      <c r="A232" s="12" t="s">
        <v>703</v>
      </c>
      <c r="B232" s="12" t="s">
        <v>704</v>
      </c>
      <c r="C232" s="12" t="s">
        <v>705</v>
      </c>
      <c r="E232" s="12">
        <v>0</v>
      </c>
      <c r="F232" s="12" t="s">
        <v>1060</v>
      </c>
      <c r="G232" s="12" t="s">
        <v>1060</v>
      </c>
    </row>
    <row r="233" spans="1:7" x14ac:dyDescent="0.2">
      <c r="A233" s="12" t="s">
        <v>706</v>
      </c>
      <c r="B233" s="12" t="s">
        <v>707</v>
      </c>
      <c r="C233" s="12" t="s">
        <v>708</v>
      </c>
      <c r="D233" s="12" t="s">
        <v>26</v>
      </c>
      <c r="E233" s="12">
        <v>0</v>
      </c>
      <c r="F233" s="12" t="s">
        <v>1061</v>
      </c>
      <c r="G233" s="12" t="s">
        <v>1122</v>
      </c>
    </row>
    <row r="234" spans="1:7" x14ac:dyDescent="0.2">
      <c r="A234" s="12" t="s">
        <v>709</v>
      </c>
      <c r="B234" s="12" t="s">
        <v>710</v>
      </c>
      <c r="C234" s="12" t="s">
        <v>711</v>
      </c>
      <c r="E234" s="12">
        <v>0</v>
      </c>
      <c r="F234" s="12" t="s">
        <v>1067</v>
      </c>
      <c r="G234" s="12" t="s">
        <v>1079</v>
      </c>
    </row>
    <row r="235" spans="1:7" x14ac:dyDescent="0.2">
      <c r="A235" s="12" t="s">
        <v>712</v>
      </c>
      <c r="B235" s="12" t="s">
        <v>713</v>
      </c>
      <c r="D235" s="12" t="s">
        <v>714</v>
      </c>
      <c r="E235" s="12">
        <v>0</v>
      </c>
      <c r="F235" s="12" t="s">
        <v>1059</v>
      </c>
      <c r="G235" s="12" t="s">
        <v>1157</v>
      </c>
    </row>
    <row r="236" spans="1:7" x14ac:dyDescent="0.2">
      <c r="A236" s="12" t="s">
        <v>715</v>
      </c>
      <c r="B236" s="12" t="s">
        <v>716</v>
      </c>
      <c r="C236" s="12" t="s">
        <v>717</v>
      </c>
      <c r="E236" s="12">
        <v>0</v>
      </c>
      <c r="F236" s="12" t="s">
        <v>1064</v>
      </c>
      <c r="G236" s="12" t="s">
        <v>1140</v>
      </c>
    </row>
    <row r="237" spans="1:7" x14ac:dyDescent="0.2">
      <c r="A237" s="12" t="s">
        <v>718</v>
      </c>
      <c r="B237" s="12" t="s">
        <v>719</v>
      </c>
      <c r="C237" s="12" t="s">
        <v>720</v>
      </c>
      <c r="E237" s="12">
        <v>0</v>
      </c>
      <c r="F237" s="12" t="s">
        <v>1064</v>
      </c>
      <c r="G237" s="12" t="s">
        <v>1124</v>
      </c>
    </row>
    <row r="238" spans="1:7" x14ac:dyDescent="0.2">
      <c r="A238" s="12" t="s">
        <v>721</v>
      </c>
      <c r="B238" s="12" t="s">
        <v>722</v>
      </c>
      <c r="C238" s="12" t="s">
        <v>723</v>
      </c>
      <c r="E238" s="12">
        <v>0</v>
      </c>
      <c r="F238" s="12" t="s">
        <v>1064</v>
      </c>
      <c r="G238" s="12" t="s">
        <v>1200</v>
      </c>
    </row>
    <row r="239" spans="1:7" x14ac:dyDescent="0.2">
      <c r="A239" s="12" t="s">
        <v>724</v>
      </c>
      <c r="B239" s="12" t="s">
        <v>725</v>
      </c>
      <c r="C239" s="12" t="s">
        <v>726</v>
      </c>
      <c r="D239" s="12" t="s">
        <v>727</v>
      </c>
      <c r="E239" s="12">
        <v>0</v>
      </c>
      <c r="F239" s="12" t="s">
        <v>1059</v>
      </c>
      <c r="G239" s="12" t="s">
        <v>1156</v>
      </c>
    </row>
    <row r="240" spans="1:7" x14ac:dyDescent="0.2">
      <c r="A240" s="12" t="s">
        <v>728</v>
      </c>
      <c r="B240" s="12" t="s">
        <v>729</v>
      </c>
      <c r="C240" s="12" t="s">
        <v>730</v>
      </c>
      <c r="E240" s="12">
        <v>0</v>
      </c>
      <c r="F240" s="12" t="s">
        <v>1061</v>
      </c>
      <c r="G240" s="12" t="s">
        <v>1087</v>
      </c>
    </row>
    <row r="241" spans="1:7" x14ac:dyDescent="0.2">
      <c r="A241" s="12" t="s">
        <v>731</v>
      </c>
      <c r="B241" s="12" t="s">
        <v>732</v>
      </c>
      <c r="C241" s="12" t="s">
        <v>733</v>
      </c>
      <c r="D241" s="12" t="s">
        <v>26</v>
      </c>
      <c r="E241" s="12">
        <v>0</v>
      </c>
      <c r="F241" s="12" t="s">
        <v>1064</v>
      </c>
      <c r="G241" s="12" t="s">
        <v>1125</v>
      </c>
    </row>
    <row r="242" spans="1:7" x14ac:dyDescent="0.2">
      <c r="A242" s="12" t="s">
        <v>734</v>
      </c>
      <c r="B242" s="12" t="s">
        <v>735</v>
      </c>
      <c r="C242" s="12" t="s">
        <v>736</v>
      </c>
      <c r="D242" s="12" t="s">
        <v>536</v>
      </c>
      <c r="E242" s="12">
        <v>0</v>
      </c>
      <c r="F242" s="12" t="s">
        <v>1061</v>
      </c>
      <c r="G242" s="12" t="s">
        <v>1301</v>
      </c>
    </row>
    <row r="243" spans="1:7" x14ac:dyDescent="0.2">
      <c r="A243" s="12" t="s">
        <v>737</v>
      </c>
      <c r="B243" s="12" t="s">
        <v>738</v>
      </c>
      <c r="C243" s="12" t="s">
        <v>739</v>
      </c>
      <c r="D243" s="12" t="s">
        <v>740</v>
      </c>
      <c r="E243" s="12">
        <v>0</v>
      </c>
      <c r="F243" s="12" t="s">
        <v>1069</v>
      </c>
      <c r="G243" s="12" t="s">
        <v>1201</v>
      </c>
    </row>
    <row r="244" spans="1:7" x14ac:dyDescent="0.2">
      <c r="A244" s="12" t="s">
        <v>741</v>
      </c>
      <c r="B244" s="12" t="s">
        <v>742</v>
      </c>
      <c r="D244" s="12" t="s">
        <v>743</v>
      </c>
      <c r="E244" s="12">
        <v>0</v>
      </c>
      <c r="F244" s="12" t="s">
        <v>1059</v>
      </c>
      <c r="G244" s="12" t="s">
        <v>1154</v>
      </c>
    </row>
    <row r="245" spans="1:7" x14ac:dyDescent="0.2">
      <c r="A245" s="12" t="s">
        <v>744</v>
      </c>
      <c r="B245" s="12" t="s">
        <v>745</v>
      </c>
      <c r="C245" s="12" t="s">
        <v>746</v>
      </c>
      <c r="D245" s="12" t="s">
        <v>316</v>
      </c>
      <c r="E245" s="12">
        <v>0</v>
      </c>
      <c r="F245" s="12" t="s">
        <v>1063</v>
      </c>
      <c r="G245" s="12" t="s">
        <v>1183</v>
      </c>
    </row>
    <row r="246" spans="1:7" x14ac:dyDescent="0.2">
      <c r="A246" s="12" t="s">
        <v>747</v>
      </c>
      <c r="B246" s="12" t="s">
        <v>748</v>
      </c>
      <c r="C246" s="12" t="s">
        <v>749</v>
      </c>
      <c r="E246" s="12">
        <v>0</v>
      </c>
      <c r="F246" s="12" t="s">
        <v>1063</v>
      </c>
      <c r="G246" s="12" t="s">
        <v>1219</v>
      </c>
    </row>
    <row r="247" spans="1:7" x14ac:dyDescent="0.2">
      <c r="A247" s="12" t="s">
        <v>750</v>
      </c>
      <c r="B247" s="12" t="s">
        <v>751</v>
      </c>
      <c r="C247" s="12" t="s">
        <v>89</v>
      </c>
      <c r="D247" s="12" t="s">
        <v>134</v>
      </c>
      <c r="E247" s="12">
        <v>0</v>
      </c>
      <c r="F247" s="12" t="s">
        <v>1062</v>
      </c>
      <c r="G247" s="12" t="s">
        <v>1235</v>
      </c>
    </row>
    <row r="248" spans="1:7" x14ac:dyDescent="0.2">
      <c r="A248" s="12" t="s">
        <v>752</v>
      </c>
      <c r="B248" s="12" t="s">
        <v>753</v>
      </c>
      <c r="C248" s="12" t="s">
        <v>754</v>
      </c>
      <c r="D248" s="12" t="s">
        <v>755</v>
      </c>
      <c r="E248" s="12">
        <v>0</v>
      </c>
      <c r="F248" s="12" t="s">
        <v>1062</v>
      </c>
      <c r="G248" s="12" t="s">
        <v>1214</v>
      </c>
    </row>
    <row r="249" spans="1:7" x14ac:dyDescent="0.2">
      <c r="A249" s="12" t="s">
        <v>756</v>
      </c>
      <c r="B249" s="12" t="s">
        <v>757</v>
      </c>
      <c r="C249" s="12" t="s">
        <v>758</v>
      </c>
      <c r="E249" s="12">
        <v>0</v>
      </c>
      <c r="F249" s="12" t="s">
        <v>1069</v>
      </c>
      <c r="G249" s="12" t="s">
        <v>1110</v>
      </c>
    </row>
    <row r="250" spans="1:7" x14ac:dyDescent="0.2">
      <c r="A250" s="12" t="s">
        <v>759</v>
      </c>
      <c r="B250" s="12" t="s">
        <v>760</v>
      </c>
      <c r="C250" s="12" t="s">
        <v>761</v>
      </c>
      <c r="D250" s="12" t="s">
        <v>60</v>
      </c>
      <c r="E250" s="12">
        <v>0</v>
      </c>
      <c r="F250" s="12" t="s">
        <v>1063</v>
      </c>
      <c r="G250" s="12" t="s">
        <v>1215</v>
      </c>
    </row>
    <row r="251" spans="1:7" x14ac:dyDescent="0.2">
      <c r="A251" s="12" t="s">
        <v>762</v>
      </c>
      <c r="B251" s="12" t="s">
        <v>763</v>
      </c>
      <c r="C251" s="12" t="s">
        <v>764</v>
      </c>
      <c r="D251" s="12" t="s">
        <v>424</v>
      </c>
      <c r="E251" s="12">
        <v>0</v>
      </c>
      <c r="F251" s="12" t="s">
        <v>1064</v>
      </c>
      <c r="G251" s="12" t="s">
        <v>1097</v>
      </c>
    </row>
    <row r="252" spans="1:7" x14ac:dyDescent="0.2">
      <c r="A252" s="12" t="s">
        <v>765</v>
      </c>
      <c r="B252" s="12" t="s">
        <v>766</v>
      </c>
      <c r="C252" s="12" t="s">
        <v>767</v>
      </c>
      <c r="D252" s="12" t="s">
        <v>768</v>
      </c>
      <c r="E252" s="12">
        <v>0</v>
      </c>
      <c r="F252" s="12" t="s">
        <v>1067</v>
      </c>
      <c r="G252" s="12" t="s">
        <v>1302</v>
      </c>
    </row>
    <row r="253" spans="1:7" x14ac:dyDescent="0.2">
      <c r="A253" s="12" t="s">
        <v>769</v>
      </c>
      <c r="B253" s="12" t="s">
        <v>770</v>
      </c>
      <c r="C253" s="12" t="s">
        <v>771</v>
      </c>
      <c r="D253" s="12" t="s">
        <v>60</v>
      </c>
      <c r="E253" s="12">
        <v>0</v>
      </c>
      <c r="F253" s="12" t="s">
        <v>1063</v>
      </c>
      <c r="G253" s="12" t="s">
        <v>1216</v>
      </c>
    </row>
    <row r="254" spans="1:7" x14ac:dyDescent="0.2">
      <c r="A254" s="12" t="s">
        <v>772</v>
      </c>
      <c r="B254" s="12" t="s">
        <v>773</v>
      </c>
      <c r="C254" s="12" t="s">
        <v>774</v>
      </c>
      <c r="D254" s="12" t="s">
        <v>775</v>
      </c>
      <c r="E254" s="12">
        <v>0</v>
      </c>
      <c r="F254" s="12" t="s">
        <v>1062</v>
      </c>
      <c r="G254" s="12" t="s">
        <v>1212</v>
      </c>
    </row>
    <row r="255" spans="1:7" x14ac:dyDescent="0.2">
      <c r="A255" s="12" t="s">
        <v>776</v>
      </c>
      <c r="B255" s="12" t="s">
        <v>777</v>
      </c>
      <c r="C255" s="12" t="s">
        <v>778</v>
      </c>
      <c r="E255" s="12">
        <v>0</v>
      </c>
      <c r="F255" s="12" t="s">
        <v>1063</v>
      </c>
      <c r="G255" s="12" t="s">
        <v>1226</v>
      </c>
    </row>
    <row r="256" spans="1:7" x14ac:dyDescent="0.2">
      <c r="A256" s="12" t="s">
        <v>779</v>
      </c>
      <c r="B256" s="12" t="s">
        <v>780</v>
      </c>
      <c r="C256" s="12" t="s">
        <v>781</v>
      </c>
      <c r="D256" s="12" t="s">
        <v>782</v>
      </c>
      <c r="E256" s="12">
        <v>0</v>
      </c>
      <c r="F256" s="12" t="s">
        <v>1062</v>
      </c>
      <c r="G256" s="12" t="s">
        <v>1209</v>
      </c>
    </row>
    <row r="257" spans="1:7" x14ac:dyDescent="0.2">
      <c r="A257" s="12" t="s">
        <v>783</v>
      </c>
      <c r="B257" s="12" t="s">
        <v>784</v>
      </c>
      <c r="C257" s="12" t="s">
        <v>355</v>
      </c>
      <c r="D257" s="12" t="s">
        <v>785</v>
      </c>
      <c r="E257" s="12">
        <v>0</v>
      </c>
      <c r="F257" s="12" t="s">
        <v>1059</v>
      </c>
      <c r="G257" s="12" t="s">
        <v>1161</v>
      </c>
    </row>
    <row r="258" spans="1:7" x14ac:dyDescent="0.2">
      <c r="A258" s="12" t="s">
        <v>786</v>
      </c>
      <c r="B258" s="12" t="s">
        <v>787</v>
      </c>
      <c r="C258" s="12" t="s">
        <v>788</v>
      </c>
      <c r="D258" s="12" t="s">
        <v>789</v>
      </c>
      <c r="E258" s="12">
        <v>0</v>
      </c>
      <c r="F258" s="12" t="s">
        <v>1064</v>
      </c>
      <c r="G258" s="12" t="s">
        <v>1080</v>
      </c>
    </row>
    <row r="259" spans="1:7" x14ac:dyDescent="0.2">
      <c r="A259" s="12" t="s">
        <v>790</v>
      </c>
      <c r="B259" s="12" t="s">
        <v>791</v>
      </c>
      <c r="C259" s="12" t="s">
        <v>792</v>
      </c>
      <c r="D259" s="12" t="s">
        <v>26</v>
      </c>
      <c r="E259" s="12">
        <v>0</v>
      </c>
      <c r="F259" s="12" t="s">
        <v>1067</v>
      </c>
      <c r="G259" s="12" t="s">
        <v>1109</v>
      </c>
    </row>
    <row r="260" spans="1:7" x14ac:dyDescent="0.2">
      <c r="A260" s="12" t="s">
        <v>793</v>
      </c>
      <c r="B260" s="12" t="s">
        <v>794</v>
      </c>
      <c r="C260" s="12" t="s">
        <v>795</v>
      </c>
      <c r="D260" s="12" t="s">
        <v>60</v>
      </c>
      <c r="E260" s="12">
        <v>0</v>
      </c>
      <c r="F260" s="12" t="s">
        <v>1069</v>
      </c>
      <c r="G260" s="12" t="s">
        <v>1204</v>
      </c>
    </row>
    <row r="261" spans="1:7" x14ac:dyDescent="0.2">
      <c r="A261" s="12" t="s">
        <v>796</v>
      </c>
      <c r="B261" s="12" t="s">
        <v>797</v>
      </c>
      <c r="C261" s="12" t="s">
        <v>798</v>
      </c>
      <c r="D261" s="12" t="s">
        <v>134</v>
      </c>
      <c r="E261" s="12">
        <v>0</v>
      </c>
      <c r="F261" s="12" t="s">
        <v>1059</v>
      </c>
      <c r="G261" s="12" t="s">
        <v>1151</v>
      </c>
    </row>
    <row r="262" spans="1:7" x14ac:dyDescent="0.2">
      <c r="A262" s="12" t="s">
        <v>799</v>
      </c>
      <c r="B262" s="12" t="s">
        <v>800</v>
      </c>
      <c r="D262" s="12" t="s">
        <v>544</v>
      </c>
      <c r="E262" s="12">
        <v>0</v>
      </c>
      <c r="F262" s="12" t="s">
        <v>1059</v>
      </c>
      <c r="G262" s="12" t="s">
        <v>1151</v>
      </c>
    </row>
    <row r="263" spans="1:7" x14ac:dyDescent="0.2">
      <c r="A263" s="12" t="s">
        <v>801</v>
      </c>
      <c r="B263" s="12" t="s">
        <v>802</v>
      </c>
      <c r="D263" s="12" t="s">
        <v>803</v>
      </c>
      <c r="E263" s="12">
        <v>0</v>
      </c>
      <c r="F263" s="12" t="s">
        <v>1059</v>
      </c>
      <c r="G263" s="12" t="s">
        <v>1151</v>
      </c>
    </row>
    <row r="264" spans="1:7" x14ac:dyDescent="0.2">
      <c r="A264" s="12" t="s">
        <v>804</v>
      </c>
      <c r="B264" s="12" t="s">
        <v>805</v>
      </c>
      <c r="C264" s="12" t="s">
        <v>806</v>
      </c>
      <c r="E264" s="12">
        <v>0</v>
      </c>
      <c r="F264" s="12" t="s">
        <v>1063</v>
      </c>
      <c r="G264" s="12" t="s">
        <v>1210</v>
      </c>
    </row>
    <row r="265" spans="1:7" x14ac:dyDescent="0.2">
      <c r="A265" s="12" t="s">
        <v>807</v>
      </c>
      <c r="B265" s="12" t="s">
        <v>808</v>
      </c>
      <c r="C265" s="12" t="s">
        <v>809</v>
      </c>
      <c r="E265" s="12">
        <v>0</v>
      </c>
      <c r="F265" s="12" t="s">
        <v>1060</v>
      </c>
      <c r="G265" s="12" t="s">
        <v>1060</v>
      </c>
    </row>
    <row r="266" spans="1:7" x14ac:dyDescent="0.2">
      <c r="A266" s="12" t="s">
        <v>810</v>
      </c>
      <c r="B266" s="12" t="s">
        <v>811</v>
      </c>
      <c r="C266" s="12" t="s">
        <v>812</v>
      </c>
      <c r="D266" s="12" t="s">
        <v>813</v>
      </c>
      <c r="E266" s="12">
        <v>0</v>
      </c>
      <c r="F266" s="12" t="s">
        <v>1069</v>
      </c>
      <c r="G266" s="12" t="s">
        <v>1114</v>
      </c>
    </row>
    <row r="267" spans="1:7" x14ac:dyDescent="0.2">
      <c r="A267" s="12" t="s">
        <v>814</v>
      </c>
      <c r="B267" s="12" t="s">
        <v>815</v>
      </c>
      <c r="C267" s="12" t="s">
        <v>430</v>
      </c>
      <c r="D267" s="12" t="s">
        <v>544</v>
      </c>
      <c r="E267" s="12">
        <v>0</v>
      </c>
      <c r="F267" s="12" t="s">
        <v>1059</v>
      </c>
      <c r="G267" s="12" t="s">
        <v>1153</v>
      </c>
    </row>
    <row r="268" spans="1:7" x14ac:dyDescent="0.2">
      <c r="A268" s="12" t="s">
        <v>816</v>
      </c>
      <c r="B268" s="12" t="s">
        <v>817</v>
      </c>
      <c r="C268" s="12" t="s">
        <v>309</v>
      </c>
      <c r="D268" s="12" t="s">
        <v>818</v>
      </c>
      <c r="E268" s="12">
        <v>1</v>
      </c>
      <c r="F268" s="12" t="s">
        <v>1067</v>
      </c>
      <c r="G268" s="12" t="s">
        <v>1106</v>
      </c>
    </row>
    <row r="269" spans="1:7" x14ac:dyDescent="0.2">
      <c r="A269" s="12" t="s">
        <v>819</v>
      </c>
      <c r="B269" s="12" t="s">
        <v>820</v>
      </c>
      <c r="C269" s="12" t="s">
        <v>821</v>
      </c>
      <c r="D269" s="12" t="s">
        <v>26</v>
      </c>
      <c r="E269" s="12">
        <v>0</v>
      </c>
      <c r="F269" s="12" t="s">
        <v>1061</v>
      </c>
      <c r="G269" s="12" t="s">
        <v>1098</v>
      </c>
    </row>
    <row r="270" spans="1:7" x14ac:dyDescent="0.2">
      <c r="A270" s="12" t="s">
        <v>822</v>
      </c>
      <c r="B270" s="12" t="s">
        <v>823</v>
      </c>
      <c r="C270" s="12" t="s">
        <v>824</v>
      </c>
      <c r="E270" s="12">
        <v>0</v>
      </c>
      <c r="F270" s="12" t="s">
        <v>1063</v>
      </c>
      <c r="G270" s="12" t="s">
        <v>1197</v>
      </c>
    </row>
    <row r="271" spans="1:7" x14ac:dyDescent="0.2">
      <c r="A271" s="12" t="s">
        <v>825</v>
      </c>
      <c r="B271" s="12" t="s">
        <v>826</v>
      </c>
      <c r="C271" s="12" t="s">
        <v>827</v>
      </c>
      <c r="D271" s="12" t="s">
        <v>424</v>
      </c>
      <c r="E271" s="12">
        <v>0</v>
      </c>
      <c r="F271" s="12" t="s">
        <v>1069</v>
      </c>
      <c r="G271" s="12" t="s">
        <v>1303</v>
      </c>
    </row>
    <row r="272" spans="1:7" x14ac:dyDescent="0.2">
      <c r="A272" s="12" t="s">
        <v>828</v>
      </c>
      <c r="B272" s="12" t="s">
        <v>829</v>
      </c>
      <c r="C272" s="12" t="s">
        <v>830</v>
      </c>
      <c r="D272" s="12" t="s">
        <v>831</v>
      </c>
      <c r="E272" s="12">
        <v>0</v>
      </c>
      <c r="F272" s="12" t="s">
        <v>1061</v>
      </c>
      <c r="G272" s="12" t="s">
        <v>1076</v>
      </c>
    </row>
    <row r="273" spans="1:7" x14ac:dyDescent="0.2">
      <c r="A273" s="12" t="s">
        <v>832</v>
      </c>
      <c r="B273" s="12" t="s">
        <v>833</v>
      </c>
      <c r="C273" s="12" t="s">
        <v>834</v>
      </c>
      <c r="D273" s="12" t="s">
        <v>134</v>
      </c>
      <c r="E273" s="12">
        <v>0</v>
      </c>
      <c r="F273" s="12" t="s">
        <v>1069</v>
      </c>
      <c r="G273" s="12" t="s">
        <v>1304</v>
      </c>
    </row>
    <row r="274" spans="1:7" x14ac:dyDescent="0.2">
      <c r="A274" s="12" t="s">
        <v>835</v>
      </c>
      <c r="B274" s="12" t="s">
        <v>836</v>
      </c>
      <c r="C274" s="12" t="s">
        <v>837</v>
      </c>
      <c r="D274" s="12" t="s">
        <v>838</v>
      </c>
      <c r="E274" s="12">
        <v>0</v>
      </c>
      <c r="F274" s="12" t="s">
        <v>1069</v>
      </c>
      <c r="G274" s="12" t="s">
        <v>1120</v>
      </c>
    </row>
    <row r="275" spans="1:7" x14ac:dyDescent="0.2">
      <c r="A275" s="12" t="s">
        <v>839</v>
      </c>
      <c r="B275" s="12" t="s">
        <v>840</v>
      </c>
      <c r="C275" s="12" t="s">
        <v>841</v>
      </c>
      <c r="D275" s="12" t="s">
        <v>842</v>
      </c>
      <c r="E275" s="12">
        <v>0</v>
      </c>
      <c r="F275" s="12" t="s">
        <v>1061</v>
      </c>
      <c r="G275" s="12" t="s">
        <v>1088</v>
      </c>
    </row>
    <row r="276" spans="1:7" x14ac:dyDescent="0.2">
      <c r="A276" s="12" t="s">
        <v>843</v>
      </c>
      <c r="B276" s="12" t="s">
        <v>844</v>
      </c>
      <c r="C276" s="12" t="s">
        <v>527</v>
      </c>
      <c r="D276" s="12" t="s">
        <v>845</v>
      </c>
      <c r="E276" s="12">
        <v>0</v>
      </c>
      <c r="F276" s="12" t="s">
        <v>1062</v>
      </c>
      <c r="G276" s="12" t="s">
        <v>1155</v>
      </c>
    </row>
    <row r="277" spans="1:7" x14ac:dyDescent="0.2">
      <c r="A277" s="12" t="s">
        <v>846</v>
      </c>
      <c r="B277" s="12" t="s">
        <v>847</v>
      </c>
      <c r="C277" s="12" t="s">
        <v>848</v>
      </c>
      <c r="D277" s="12" t="s">
        <v>849</v>
      </c>
      <c r="E277" s="12">
        <v>0</v>
      </c>
      <c r="F277" s="12" t="s">
        <v>1063</v>
      </c>
      <c r="G277" s="12" t="s">
        <v>1185</v>
      </c>
    </row>
    <row r="278" spans="1:7" x14ac:dyDescent="0.2">
      <c r="A278" s="12" t="s">
        <v>850</v>
      </c>
      <c r="B278" s="12" t="s">
        <v>851</v>
      </c>
      <c r="C278" s="12" t="s">
        <v>852</v>
      </c>
      <c r="D278" s="12" t="s">
        <v>60</v>
      </c>
      <c r="E278" s="12">
        <v>0</v>
      </c>
      <c r="F278" s="12" t="s">
        <v>1063</v>
      </c>
      <c r="G278" s="12" t="s">
        <v>1219</v>
      </c>
    </row>
    <row r="279" spans="1:7" x14ac:dyDescent="0.2">
      <c r="A279" s="12" t="s">
        <v>853</v>
      </c>
      <c r="B279" s="12" t="s">
        <v>854</v>
      </c>
      <c r="C279" s="12" t="s">
        <v>855</v>
      </c>
      <c r="D279" s="12" t="s">
        <v>856</v>
      </c>
      <c r="E279" s="12">
        <v>1</v>
      </c>
      <c r="F279" s="12" t="s">
        <v>1062</v>
      </c>
      <c r="G279" s="12" t="s">
        <v>1193</v>
      </c>
    </row>
    <row r="280" spans="1:7" x14ac:dyDescent="0.2">
      <c r="A280" s="12" t="s">
        <v>857</v>
      </c>
      <c r="B280" s="12" t="s">
        <v>858</v>
      </c>
      <c r="C280" s="12" t="s">
        <v>859</v>
      </c>
      <c r="D280" s="12" t="s">
        <v>860</v>
      </c>
      <c r="E280" s="12">
        <v>0</v>
      </c>
      <c r="F280" s="12" t="s">
        <v>1067</v>
      </c>
      <c r="G280" s="12" t="s">
        <v>1094</v>
      </c>
    </row>
    <row r="281" spans="1:7" x14ac:dyDescent="0.2">
      <c r="A281" s="12" t="s">
        <v>861</v>
      </c>
      <c r="B281" s="12" t="s">
        <v>862</v>
      </c>
      <c r="C281" s="12" t="s">
        <v>19</v>
      </c>
      <c r="D281" s="12" t="s">
        <v>863</v>
      </c>
      <c r="E281" s="12">
        <v>0</v>
      </c>
      <c r="F281" s="12" t="s">
        <v>1060</v>
      </c>
      <c r="G281" s="12" t="s">
        <v>1060</v>
      </c>
    </row>
    <row r="282" spans="1:7" x14ac:dyDescent="0.2">
      <c r="A282" s="12" t="s">
        <v>864</v>
      </c>
      <c r="B282" s="12" t="s">
        <v>865</v>
      </c>
      <c r="C282" s="12" t="s">
        <v>866</v>
      </c>
      <c r="E282" s="12">
        <v>0</v>
      </c>
      <c r="F282" s="12" t="s">
        <v>1061</v>
      </c>
      <c r="G282" s="12" t="s">
        <v>1123</v>
      </c>
    </row>
    <row r="283" spans="1:7" x14ac:dyDescent="0.2">
      <c r="A283" s="12" t="s">
        <v>867</v>
      </c>
      <c r="B283" s="12" t="s">
        <v>868</v>
      </c>
      <c r="C283" s="12" t="s">
        <v>869</v>
      </c>
      <c r="D283" s="12" t="s">
        <v>813</v>
      </c>
      <c r="E283" s="12">
        <v>0</v>
      </c>
      <c r="F283" s="12" t="s">
        <v>1067</v>
      </c>
      <c r="G283" s="12" t="s">
        <v>1090</v>
      </c>
    </row>
    <row r="284" spans="1:7" x14ac:dyDescent="0.2">
      <c r="A284" s="12" t="s">
        <v>870</v>
      </c>
      <c r="B284" s="12" t="s">
        <v>871</v>
      </c>
      <c r="E284" s="12">
        <v>0</v>
      </c>
      <c r="G284" s="12" t="s">
        <v>1070</v>
      </c>
    </row>
    <row r="285" spans="1:7" x14ac:dyDescent="0.2">
      <c r="A285" s="12" t="s">
        <v>872</v>
      </c>
      <c r="B285" s="12" t="s">
        <v>873</v>
      </c>
      <c r="C285" s="12" t="s">
        <v>874</v>
      </c>
      <c r="E285" s="12">
        <v>0</v>
      </c>
      <c r="F285" s="12" t="s">
        <v>1060</v>
      </c>
      <c r="G285" s="12" t="s">
        <v>1060</v>
      </c>
    </row>
    <row r="286" spans="1:7" x14ac:dyDescent="0.2">
      <c r="A286" s="12" t="s">
        <v>875</v>
      </c>
      <c r="B286" s="12" t="s">
        <v>876</v>
      </c>
      <c r="C286" s="12" t="s">
        <v>877</v>
      </c>
      <c r="D286" s="12" t="s">
        <v>60</v>
      </c>
      <c r="E286" s="12">
        <v>0</v>
      </c>
      <c r="F286" s="12" t="s">
        <v>1063</v>
      </c>
      <c r="G286" s="12" t="s">
        <v>1219</v>
      </c>
    </row>
    <row r="287" spans="1:7" x14ac:dyDescent="0.2">
      <c r="A287" s="12" t="s">
        <v>878</v>
      </c>
      <c r="B287" s="12" t="s">
        <v>879</v>
      </c>
      <c r="C287" s="12" t="s">
        <v>880</v>
      </c>
      <c r="D287" s="12" t="s">
        <v>134</v>
      </c>
      <c r="E287" s="12">
        <v>0</v>
      </c>
      <c r="F287" s="12" t="s">
        <v>1062</v>
      </c>
      <c r="G287" s="12" t="s">
        <v>1218</v>
      </c>
    </row>
    <row r="288" spans="1:7" x14ac:dyDescent="0.2">
      <c r="A288" s="12" t="s">
        <v>881</v>
      </c>
      <c r="B288" s="12" t="s">
        <v>882</v>
      </c>
      <c r="C288" s="12" t="s">
        <v>883</v>
      </c>
      <c r="D288" s="12" t="s">
        <v>884</v>
      </c>
      <c r="E288" s="12">
        <v>0</v>
      </c>
      <c r="F288" s="12" t="s">
        <v>1062</v>
      </c>
      <c r="G288" s="12" t="s">
        <v>1231</v>
      </c>
    </row>
    <row r="289" spans="1:7" x14ac:dyDescent="0.2">
      <c r="A289" s="12" t="s">
        <v>885</v>
      </c>
      <c r="B289" s="12" t="s">
        <v>886</v>
      </c>
      <c r="C289" s="12" t="s">
        <v>887</v>
      </c>
      <c r="D289" s="12" t="s">
        <v>60</v>
      </c>
      <c r="E289" s="12">
        <v>0</v>
      </c>
      <c r="F289" s="12" t="s">
        <v>1069</v>
      </c>
      <c r="G289" s="12" t="s">
        <v>1220</v>
      </c>
    </row>
    <row r="290" spans="1:7" x14ac:dyDescent="0.2">
      <c r="A290" s="12" t="s">
        <v>888</v>
      </c>
      <c r="B290" s="12" t="s">
        <v>889</v>
      </c>
      <c r="C290" s="12" t="s">
        <v>890</v>
      </c>
      <c r="D290" s="12" t="s">
        <v>891</v>
      </c>
      <c r="E290" s="12">
        <v>0</v>
      </c>
      <c r="F290" s="12" t="s">
        <v>1062</v>
      </c>
      <c r="G290" s="12" t="s">
        <v>1208</v>
      </c>
    </row>
    <row r="291" spans="1:7" x14ac:dyDescent="0.2">
      <c r="A291" s="12" t="s">
        <v>892</v>
      </c>
      <c r="B291" s="12" t="s">
        <v>893</v>
      </c>
      <c r="C291" s="12" t="s">
        <v>894</v>
      </c>
      <c r="D291" s="12" t="s">
        <v>895</v>
      </c>
      <c r="E291" s="12">
        <v>0</v>
      </c>
      <c r="F291" s="12" t="s">
        <v>1069</v>
      </c>
      <c r="G291" s="12" t="s">
        <v>1112</v>
      </c>
    </row>
    <row r="292" spans="1:7" x14ac:dyDescent="0.2">
      <c r="A292" s="12" t="s">
        <v>896</v>
      </c>
      <c r="B292" s="12" t="s">
        <v>897</v>
      </c>
      <c r="C292" s="12" t="s">
        <v>898</v>
      </c>
      <c r="D292" s="12" t="s">
        <v>899</v>
      </c>
      <c r="E292" s="12">
        <v>0</v>
      </c>
      <c r="F292" s="12" t="s">
        <v>1067</v>
      </c>
      <c r="G292" s="12" t="s">
        <v>1103</v>
      </c>
    </row>
    <row r="293" spans="1:7" x14ac:dyDescent="0.2">
      <c r="A293" s="12" t="s">
        <v>900</v>
      </c>
      <c r="B293" s="12" t="s">
        <v>901</v>
      </c>
      <c r="C293" s="12" t="s">
        <v>902</v>
      </c>
      <c r="D293" s="12" t="s">
        <v>903</v>
      </c>
      <c r="E293" s="12">
        <v>0</v>
      </c>
      <c r="F293" s="12" t="s">
        <v>1069</v>
      </c>
      <c r="G293" s="12" t="s">
        <v>1117</v>
      </c>
    </row>
    <row r="294" spans="1:7" x14ac:dyDescent="0.2">
      <c r="A294" s="12" t="s">
        <v>904</v>
      </c>
      <c r="B294" s="12" t="s">
        <v>905</v>
      </c>
      <c r="C294" s="12" t="s">
        <v>906</v>
      </c>
      <c r="D294" s="12" t="s">
        <v>907</v>
      </c>
      <c r="E294" s="12">
        <v>1</v>
      </c>
      <c r="F294" s="12" t="s">
        <v>1062</v>
      </c>
      <c r="G294" s="12" t="s">
        <v>1192</v>
      </c>
    </row>
    <row r="295" spans="1:7" x14ac:dyDescent="0.2">
      <c r="A295" s="12" t="s">
        <v>908</v>
      </c>
      <c r="B295" s="12" t="s">
        <v>909</v>
      </c>
      <c r="C295" s="12" t="s">
        <v>910</v>
      </c>
      <c r="D295" s="12" t="s">
        <v>911</v>
      </c>
      <c r="E295" s="12">
        <v>0</v>
      </c>
      <c r="F295" s="12" t="s">
        <v>1067</v>
      </c>
      <c r="G295" s="12" t="s">
        <v>1129</v>
      </c>
    </row>
    <row r="296" spans="1:7" x14ac:dyDescent="0.2">
      <c r="A296" s="12" t="s">
        <v>912</v>
      </c>
      <c r="B296" s="12" t="s">
        <v>913</v>
      </c>
      <c r="C296" s="12" t="s">
        <v>914</v>
      </c>
      <c r="D296" s="12" t="s">
        <v>915</v>
      </c>
      <c r="E296" s="12">
        <v>0</v>
      </c>
      <c r="F296" s="12" t="s">
        <v>1061</v>
      </c>
      <c r="G296" s="12" t="s">
        <v>1083</v>
      </c>
    </row>
    <row r="297" spans="1:7" x14ac:dyDescent="0.2">
      <c r="A297" s="12" t="s">
        <v>916</v>
      </c>
      <c r="B297" s="12" t="s">
        <v>917</v>
      </c>
      <c r="C297" s="12" t="s">
        <v>918</v>
      </c>
      <c r="D297" s="12" t="s">
        <v>919</v>
      </c>
      <c r="E297" s="12">
        <v>0</v>
      </c>
      <c r="F297" s="12" t="s">
        <v>1064</v>
      </c>
      <c r="G297" s="12" t="s">
        <v>1102</v>
      </c>
    </row>
    <row r="298" spans="1:7" x14ac:dyDescent="0.2">
      <c r="A298" s="12" t="s">
        <v>920</v>
      </c>
      <c r="B298" s="12" t="s">
        <v>921</v>
      </c>
      <c r="C298" s="12" t="s">
        <v>922</v>
      </c>
      <c r="D298" s="12" t="s">
        <v>923</v>
      </c>
      <c r="E298" s="12">
        <v>0</v>
      </c>
      <c r="F298" s="12" t="s">
        <v>1060</v>
      </c>
      <c r="G298" s="12" t="s">
        <v>1060</v>
      </c>
    </row>
    <row r="299" spans="1:7" x14ac:dyDescent="0.2">
      <c r="A299" s="12" t="s">
        <v>924</v>
      </c>
      <c r="B299" s="12" t="s">
        <v>925</v>
      </c>
      <c r="C299" s="12" t="s">
        <v>926</v>
      </c>
      <c r="D299" s="12" t="s">
        <v>927</v>
      </c>
      <c r="E299" s="12">
        <v>0</v>
      </c>
      <c r="F299" s="12" t="s">
        <v>1059</v>
      </c>
      <c r="G299" s="12" t="s">
        <v>1166</v>
      </c>
    </row>
    <row r="300" spans="1:7" x14ac:dyDescent="0.2">
      <c r="A300" s="12" t="s">
        <v>928</v>
      </c>
      <c r="B300" s="12" t="s">
        <v>929</v>
      </c>
      <c r="C300" s="12" t="s">
        <v>930</v>
      </c>
      <c r="D300" s="12" t="s">
        <v>931</v>
      </c>
      <c r="E300" s="12">
        <v>0</v>
      </c>
      <c r="F300" s="12" t="s">
        <v>1062</v>
      </c>
      <c r="G300" s="12" t="s">
        <v>1238</v>
      </c>
    </row>
    <row r="301" spans="1:7" x14ac:dyDescent="0.2">
      <c r="A301" s="12" t="s">
        <v>932</v>
      </c>
      <c r="B301" s="12" t="s">
        <v>933</v>
      </c>
      <c r="E301" s="12">
        <v>0</v>
      </c>
      <c r="G301" s="12" t="s">
        <v>1070</v>
      </c>
    </row>
    <row r="302" spans="1:7" x14ac:dyDescent="0.2">
      <c r="A302" s="12" t="s">
        <v>934</v>
      </c>
      <c r="B302" s="12" t="s">
        <v>935</v>
      </c>
      <c r="C302" s="12" t="s">
        <v>936</v>
      </c>
      <c r="D302" s="12" t="s">
        <v>569</v>
      </c>
      <c r="E302" s="12">
        <v>0</v>
      </c>
      <c r="F302" s="12" t="s">
        <v>1066</v>
      </c>
      <c r="G302" s="12" t="s">
        <v>1146</v>
      </c>
    </row>
    <row r="303" spans="1:7" x14ac:dyDescent="0.2">
      <c r="A303" s="12" t="s">
        <v>937</v>
      </c>
      <c r="B303" s="12" t="s">
        <v>938</v>
      </c>
      <c r="C303" s="12" t="s">
        <v>939</v>
      </c>
      <c r="D303" s="12" t="s">
        <v>940</v>
      </c>
      <c r="E303" s="12">
        <v>1</v>
      </c>
      <c r="F303" s="12" t="s">
        <v>1064</v>
      </c>
      <c r="G303" s="12" t="s">
        <v>1119</v>
      </c>
    </row>
    <row r="304" spans="1:7" x14ac:dyDescent="0.2">
      <c r="A304" s="12" t="s">
        <v>941</v>
      </c>
      <c r="B304" s="12" t="s">
        <v>942</v>
      </c>
      <c r="D304" s="12" t="s">
        <v>943</v>
      </c>
      <c r="E304" s="12">
        <v>1</v>
      </c>
      <c r="F304" s="12" t="s">
        <v>1069</v>
      </c>
      <c r="G304" s="12" t="s">
        <v>1077</v>
      </c>
    </row>
    <row r="305" spans="1:7" x14ac:dyDescent="0.2">
      <c r="A305" s="12" t="s">
        <v>944</v>
      </c>
      <c r="B305" s="12" t="s">
        <v>945</v>
      </c>
      <c r="C305" s="12" t="s">
        <v>946</v>
      </c>
      <c r="D305" s="12" t="s">
        <v>947</v>
      </c>
      <c r="E305" s="12">
        <v>1</v>
      </c>
      <c r="F305" s="12" t="s">
        <v>1062</v>
      </c>
      <c r="G305" s="12" t="s">
        <v>1168</v>
      </c>
    </row>
    <row r="306" spans="1:7" x14ac:dyDescent="0.2">
      <c r="A306" s="12" t="s">
        <v>948</v>
      </c>
      <c r="B306" s="12" t="s">
        <v>949</v>
      </c>
      <c r="C306" s="12" t="s">
        <v>950</v>
      </c>
      <c r="D306" s="12" t="s">
        <v>951</v>
      </c>
      <c r="E306" s="12">
        <v>1</v>
      </c>
      <c r="F306" s="12" t="s">
        <v>1063</v>
      </c>
      <c r="G306" s="12" t="s">
        <v>1222</v>
      </c>
    </row>
    <row r="307" spans="1:7" x14ac:dyDescent="0.2">
      <c r="A307" s="12" t="s">
        <v>952</v>
      </c>
      <c r="B307" s="12" t="s">
        <v>953</v>
      </c>
      <c r="C307" s="12" t="s">
        <v>954</v>
      </c>
      <c r="D307" s="12" t="s">
        <v>955</v>
      </c>
      <c r="E307" s="12">
        <v>1</v>
      </c>
      <c r="F307" s="12" t="s">
        <v>1064</v>
      </c>
      <c r="G307" s="12" t="s">
        <v>1134</v>
      </c>
    </row>
    <row r="308" spans="1:7" x14ac:dyDescent="0.2">
      <c r="A308" s="12" t="s">
        <v>956</v>
      </c>
      <c r="B308" s="12" t="s">
        <v>957</v>
      </c>
      <c r="C308" s="12" t="s">
        <v>958</v>
      </c>
      <c r="D308" s="12" t="s">
        <v>959</v>
      </c>
      <c r="E308" s="12">
        <v>1</v>
      </c>
      <c r="F308" s="12" t="s">
        <v>1061</v>
      </c>
      <c r="G308" s="12" t="s">
        <v>1093</v>
      </c>
    </row>
    <row r="309" spans="1:7" x14ac:dyDescent="0.2">
      <c r="A309" s="12" t="s">
        <v>960</v>
      </c>
      <c r="B309" s="12" t="s">
        <v>961</v>
      </c>
      <c r="C309" s="12" t="s">
        <v>962</v>
      </c>
      <c r="D309" s="12" t="s">
        <v>963</v>
      </c>
      <c r="E309" s="12">
        <v>0</v>
      </c>
      <c r="F309" s="12" t="s">
        <v>1069</v>
      </c>
      <c r="G309" s="12" t="s">
        <v>1091</v>
      </c>
    </row>
    <row r="310" spans="1:7" x14ac:dyDescent="0.2">
      <c r="A310" s="12" t="s">
        <v>964</v>
      </c>
      <c r="B310" s="12" t="s">
        <v>965</v>
      </c>
      <c r="C310" s="12" t="s">
        <v>966</v>
      </c>
      <c r="D310" s="12" t="s">
        <v>967</v>
      </c>
      <c r="E310" s="12">
        <v>1</v>
      </c>
      <c r="F310" s="12" t="s">
        <v>1064</v>
      </c>
      <c r="G310" s="12" t="s">
        <v>1113</v>
      </c>
    </row>
    <row r="311" spans="1:7" x14ac:dyDescent="0.2">
      <c r="A311" s="12" t="s">
        <v>968</v>
      </c>
      <c r="B311" s="12" t="s">
        <v>969</v>
      </c>
      <c r="C311" s="12" t="s">
        <v>970</v>
      </c>
      <c r="D311" s="12" t="s">
        <v>971</v>
      </c>
      <c r="E311" s="12">
        <v>0</v>
      </c>
      <c r="F311" s="12" t="s">
        <v>1062</v>
      </c>
      <c r="G311" s="12" t="s">
        <v>1162</v>
      </c>
    </row>
    <row r="312" spans="1:7" x14ac:dyDescent="0.2">
      <c r="A312" s="12" t="s">
        <v>972</v>
      </c>
      <c r="B312" s="12" t="s">
        <v>973</v>
      </c>
      <c r="C312" s="12" t="s">
        <v>974</v>
      </c>
      <c r="D312" s="12" t="s">
        <v>975</v>
      </c>
      <c r="E312" s="12">
        <v>0</v>
      </c>
      <c r="F312" s="12" t="s">
        <v>1063</v>
      </c>
      <c r="G312" s="12" t="s">
        <v>1187</v>
      </c>
    </row>
    <row r="313" spans="1:7" x14ac:dyDescent="0.2">
      <c r="A313" s="12" t="s">
        <v>976</v>
      </c>
      <c r="B313" s="12" t="s">
        <v>977</v>
      </c>
      <c r="C313" s="12" t="s">
        <v>978</v>
      </c>
      <c r="D313" s="12" t="s">
        <v>134</v>
      </c>
      <c r="E313" s="12">
        <v>0</v>
      </c>
      <c r="F313" s="12" t="s">
        <v>1067</v>
      </c>
      <c r="G313" s="12" t="s">
        <v>1105</v>
      </c>
    </row>
    <row r="314" spans="1:7" x14ac:dyDescent="0.2">
      <c r="A314" s="12" t="s">
        <v>979</v>
      </c>
      <c r="B314" s="12" t="s">
        <v>980</v>
      </c>
      <c r="C314" s="12" t="s">
        <v>981</v>
      </c>
      <c r="E314" s="12">
        <v>0</v>
      </c>
      <c r="F314" s="12" t="s">
        <v>1069</v>
      </c>
      <c r="G314" s="12" t="s">
        <v>1081</v>
      </c>
    </row>
    <row r="315" spans="1:7" x14ac:dyDescent="0.2">
      <c r="A315" s="12" t="s">
        <v>982</v>
      </c>
      <c r="B315" s="12" t="s">
        <v>983</v>
      </c>
      <c r="C315" s="12" t="s">
        <v>984</v>
      </c>
      <c r="D315" s="12" t="s">
        <v>985</v>
      </c>
      <c r="E315" s="12">
        <v>0</v>
      </c>
      <c r="F315" s="12" t="s">
        <v>1064</v>
      </c>
      <c r="G315" s="12" t="s">
        <v>1137</v>
      </c>
    </row>
    <row r="316" spans="1:7" x14ac:dyDescent="0.2">
      <c r="A316" s="12" t="s">
        <v>986</v>
      </c>
      <c r="B316" s="12" t="s">
        <v>987</v>
      </c>
      <c r="C316" s="12" t="s">
        <v>988</v>
      </c>
      <c r="D316" s="12" t="s">
        <v>989</v>
      </c>
      <c r="E316" s="12">
        <v>0</v>
      </c>
      <c r="F316" s="12" t="s">
        <v>1059</v>
      </c>
      <c r="G316" s="12" t="s">
        <v>1167</v>
      </c>
    </row>
    <row r="317" spans="1:7" x14ac:dyDescent="0.2">
      <c r="A317" s="12" t="s">
        <v>990</v>
      </c>
      <c r="B317" s="12" t="s">
        <v>991</v>
      </c>
      <c r="C317" s="12" t="s">
        <v>992</v>
      </c>
      <c r="D317" s="12" t="s">
        <v>993</v>
      </c>
      <c r="E317" s="12">
        <v>0</v>
      </c>
      <c r="F317" s="12" t="s">
        <v>1069</v>
      </c>
      <c r="G317" s="12" t="s">
        <v>1095</v>
      </c>
    </row>
    <row r="318" spans="1:7" x14ac:dyDescent="0.2">
      <c r="A318" s="12" t="s">
        <v>994</v>
      </c>
      <c r="B318" s="12" t="s">
        <v>995</v>
      </c>
      <c r="C318" s="12" t="s">
        <v>996</v>
      </c>
      <c r="D318" s="12" t="s">
        <v>997</v>
      </c>
      <c r="E318" s="12">
        <v>0</v>
      </c>
      <c r="F318" s="12" t="s">
        <v>1062</v>
      </c>
      <c r="G318" s="12" t="s">
        <v>1163</v>
      </c>
    </row>
    <row r="319" spans="1:7" x14ac:dyDescent="0.2">
      <c r="A319" s="12" t="s">
        <v>998</v>
      </c>
      <c r="B319" s="12" t="s">
        <v>999</v>
      </c>
      <c r="C319" s="12" t="s">
        <v>1000</v>
      </c>
      <c r="D319" s="12" t="s">
        <v>1001</v>
      </c>
      <c r="E319" s="12">
        <v>0</v>
      </c>
      <c r="F319" s="12" t="s">
        <v>1069</v>
      </c>
      <c r="G319" s="12" t="s">
        <v>1213</v>
      </c>
    </row>
    <row r="320" spans="1:7" x14ac:dyDescent="0.2">
      <c r="A320" s="12" t="s">
        <v>1002</v>
      </c>
      <c r="B320" s="12" t="s">
        <v>1003</v>
      </c>
      <c r="C320" s="12" t="s">
        <v>1004</v>
      </c>
      <c r="D320" s="12" t="s">
        <v>1005</v>
      </c>
      <c r="E320" s="12">
        <v>0</v>
      </c>
      <c r="F320" s="12" t="s">
        <v>1069</v>
      </c>
      <c r="G320" s="12" t="s">
        <v>1175</v>
      </c>
    </row>
    <row r="321" spans="1:7" x14ac:dyDescent="0.2">
      <c r="A321" s="12" t="s">
        <v>1006</v>
      </c>
      <c r="B321" s="12" t="s">
        <v>1007</v>
      </c>
      <c r="C321" s="12" t="s">
        <v>1008</v>
      </c>
      <c r="D321" s="12" t="s">
        <v>1009</v>
      </c>
      <c r="E321" s="12">
        <v>0</v>
      </c>
      <c r="F321" s="12" t="s">
        <v>1059</v>
      </c>
      <c r="G321" s="12" t="s">
        <v>1166</v>
      </c>
    </row>
    <row r="322" spans="1:7" x14ac:dyDescent="0.2">
      <c r="A322" s="12" t="s">
        <v>1010</v>
      </c>
      <c r="B322" s="12" t="s">
        <v>1011</v>
      </c>
      <c r="E322" s="12">
        <v>0</v>
      </c>
      <c r="F322" s="12" t="s">
        <v>1060</v>
      </c>
      <c r="G322" s="12" t="s">
        <v>1060</v>
      </c>
    </row>
    <row r="323" spans="1:7" x14ac:dyDescent="0.2">
      <c r="A323" s="12" t="s">
        <v>1012</v>
      </c>
      <c r="B323" s="12" t="s">
        <v>1013</v>
      </c>
      <c r="C323" s="12" t="s">
        <v>1014</v>
      </c>
      <c r="D323" s="12" t="s">
        <v>1015</v>
      </c>
      <c r="E323" s="12">
        <v>0</v>
      </c>
      <c r="F323" s="12" t="s">
        <v>1069</v>
      </c>
      <c r="G323" s="12" t="s">
        <v>1121</v>
      </c>
    </row>
    <row r="324" spans="1:7" x14ac:dyDescent="0.2">
      <c r="A324" s="12" t="s">
        <v>1016</v>
      </c>
      <c r="B324" s="12" t="s">
        <v>1017</v>
      </c>
      <c r="C324" s="12" t="s">
        <v>1018</v>
      </c>
      <c r="D324" s="12" t="s">
        <v>1019</v>
      </c>
      <c r="E324" s="12">
        <v>0</v>
      </c>
      <c r="F324" s="12" t="s">
        <v>1059</v>
      </c>
      <c r="G324" s="12" t="s">
        <v>1164</v>
      </c>
    </row>
    <row r="325" spans="1:7" x14ac:dyDescent="0.2">
      <c r="A325" s="12" t="s">
        <v>1020</v>
      </c>
      <c r="B325" s="12" t="s">
        <v>1021</v>
      </c>
      <c r="C325" s="12" t="s">
        <v>922</v>
      </c>
      <c r="D325" s="12" t="s">
        <v>923</v>
      </c>
      <c r="E325" s="12">
        <v>1</v>
      </c>
      <c r="F325" s="12" t="s">
        <v>1060</v>
      </c>
      <c r="G325" s="12" t="s">
        <v>1060</v>
      </c>
    </row>
    <row r="326" spans="1:7" x14ac:dyDescent="0.2">
      <c r="A326" s="12" t="s">
        <v>1022</v>
      </c>
      <c r="B326" s="12" t="s">
        <v>1023</v>
      </c>
      <c r="C326" s="12" t="s">
        <v>1024</v>
      </c>
      <c r="E326" s="12">
        <v>0</v>
      </c>
      <c r="F326" s="12" t="s">
        <v>1069</v>
      </c>
      <c r="G326" s="12" t="s">
        <v>1205</v>
      </c>
    </row>
    <row r="327" spans="1:7" x14ac:dyDescent="0.2">
      <c r="A327" s="12" t="s">
        <v>1025</v>
      </c>
      <c r="B327" s="12" t="s">
        <v>1026</v>
      </c>
      <c r="C327" s="12" t="s">
        <v>1027</v>
      </c>
      <c r="E327" s="12">
        <v>1</v>
      </c>
      <c r="F327" s="12" t="s">
        <v>1069</v>
      </c>
      <c r="G327" s="12" t="s">
        <v>1133</v>
      </c>
    </row>
    <row r="328" spans="1:7" x14ac:dyDescent="0.2">
      <c r="A328" s="12" t="s">
        <v>1028</v>
      </c>
      <c r="B328" s="12" t="s">
        <v>1029</v>
      </c>
      <c r="C328" s="12" t="s">
        <v>1030</v>
      </c>
      <c r="D328" s="12" t="s">
        <v>60</v>
      </c>
      <c r="E328" s="12">
        <v>0</v>
      </c>
      <c r="F328" s="12" t="s">
        <v>1063</v>
      </c>
      <c r="G328" s="12" t="s">
        <v>1225</v>
      </c>
    </row>
    <row r="329" spans="1:7" x14ac:dyDescent="0.2">
      <c r="A329" s="12" t="s">
        <v>1031</v>
      </c>
      <c r="B329" s="12" t="s">
        <v>1032</v>
      </c>
      <c r="C329" s="12" t="s">
        <v>1033</v>
      </c>
      <c r="D329" s="12" t="s">
        <v>1034</v>
      </c>
      <c r="E329" s="12">
        <v>0</v>
      </c>
      <c r="F329" s="12" t="s">
        <v>1069</v>
      </c>
      <c r="G329" s="12" t="s">
        <v>1149</v>
      </c>
    </row>
    <row r="330" spans="1:7" x14ac:dyDescent="0.2">
      <c r="A330" s="12" t="s">
        <v>1035</v>
      </c>
      <c r="B330" s="12" t="s">
        <v>1036</v>
      </c>
      <c r="C330" s="12" t="s">
        <v>1037</v>
      </c>
      <c r="D330" s="12" t="s">
        <v>1038</v>
      </c>
      <c r="E330" s="12">
        <v>0</v>
      </c>
      <c r="F330" s="12" t="s">
        <v>1069</v>
      </c>
      <c r="G330" s="12" t="s">
        <v>1144</v>
      </c>
    </row>
    <row r="331" spans="1:7" x14ac:dyDescent="0.2">
      <c r="A331" s="12" t="s">
        <v>1039</v>
      </c>
      <c r="B331" s="12" t="s">
        <v>1040</v>
      </c>
      <c r="C331" s="12" t="s">
        <v>1041</v>
      </c>
      <c r="D331" s="12" t="s">
        <v>1042</v>
      </c>
      <c r="E331" s="12">
        <v>1</v>
      </c>
      <c r="F331" s="12" t="s">
        <v>1067</v>
      </c>
      <c r="G331" s="12" t="s">
        <v>1130</v>
      </c>
    </row>
    <row r="332" spans="1:7" x14ac:dyDescent="0.2">
      <c r="A332" s="12" t="s">
        <v>1043</v>
      </c>
      <c r="B332" s="12" t="s">
        <v>1044</v>
      </c>
      <c r="C332" s="12" t="s">
        <v>1045</v>
      </c>
      <c r="D332" s="12" t="s">
        <v>1046</v>
      </c>
      <c r="E332" s="12">
        <v>1</v>
      </c>
      <c r="F332" s="12" t="s">
        <v>1069</v>
      </c>
      <c r="G332" s="12" t="s">
        <v>1148</v>
      </c>
    </row>
    <row r="333" spans="1:7" x14ac:dyDescent="0.2">
      <c r="A333" s="12" t="s">
        <v>1047</v>
      </c>
      <c r="B333" s="12" t="s">
        <v>1048</v>
      </c>
      <c r="C333" s="12" t="s">
        <v>1049</v>
      </c>
      <c r="D333" s="12" t="s">
        <v>1050</v>
      </c>
      <c r="E333" s="12">
        <v>1</v>
      </c>
      <c r="F333" s="12" t="s">
        <v>1069</v>
      </c>
      <c r="G333" s="12" t="s">
        <v>1223</v>
      </c>
    </row>
    <row r="334" spans="1:7" x14ac:dyDescent="0.2">
      <c r="A334" s="12" t="s">
        <v>1051</v>
      </c>
      <c r="B334" s="12" t="s">
        <v>1052</v>
      </c>
      <c r="C334" s="12" t="s">
        <v>1053</v>
      </c>
      <c r="D334" s="12" t="s">
        <v>789</v>
      </c>
      <c r="E334" s="12">
        <v>1</v>
      </c>
      <c r="F334" s="12" t="s">
        <v>1063</v>
      </c>
      <c r="G334" s="12" t="s">
        <v>1217</v>
      </c>
    </row>
    <row r="335" spans="1:7" x14ac:dyDescent="0.2">
      <c r="A335" s="12" t="s">
        <v>1054</v>
      </c>
      <c r="B335" s="12" t="s">
        <v>1055</v>
      </c>
      <c r="C335" s="12" t="s">
        <v>1056</v>
      </c>
      <c r="D335" s="12" t="s">
        <v>1057</v>
      </c>
      <c r="E335" s="12">
        <v>0</v>
      </c>
      <c r="F335" s="12" t="s">
        <v>1059</v>
      </c>
      <c r="G335" s="12" t="s">
        <v>1151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002D-BD25-4ACA-A263-8C71A42E1A1A}">
  <dimension ref="A1:F642"/>
  <sheetViews>
    <sheetView workbookViewId="0">
      <selection activeCell="A5" sqref="A5"/>
    </sheetView>
  </sheetViews>
  <sheetFormatPr baseColWidth="10" defaultColWidth="8.83203125" defaultRowHeight="15" x14ac:dyDescent="0.2"/>
  <cols>
    <col min="1" max="1" width="21.5" bestFit="1" customWidth="1"/>
    <col min="2" max="2" width="42.83203125" bestFit="1" customWidth="1"/>
    <col min="3" max="3" width="17.83203125" bestFit="1" customWidth="1"/>
    <col min="4" max="4" width="19.83203125" bestFit="1" customWidth="1"/>
    <col min="5" max="5" width="18.83203125" bestFit="1" customWidth="1"/>
    <col min="6" max="6" width="20.5" bestFit="1" customWidth="1"/>
  </cols>
  <sheetData>
    <row r="1" spans="1:6" s="14" customFormat="1" x14ac:dyDescent="0.2">
      <c r="A1" s="14" t="s">
        <v>0</v>
      </c>
      <c r="B1" s="14" t="s">
        <v>1243</v>
      </c>
      <c r="C1" s="14" t="s">
        <v>1281</v>
      </c>
      <c r="D1" s="14" t="s">
        <v>1282</v>
      </c>
      <c r="E1" s="14" t="s">
        <v>1283</v>
      </c>
      <c r="F1" s="14" t="s">
        <v>1284</v>
      </c>
    </row>
    <row r="2" spans="1:6" x14ac:dyDescent="0.2">
      <c r="A2" t="s">
        <v>2</v>
      </c>
      <c r="B2" t="s">
        <v>1060</v>
      </c>
      <c r="E2" s="1">
        <f>IF(COUNTIFS($A$2:A2,A2,$B$2:B2,B2)=1,1,0)</f>
        <v>1</v>
      </c>
      <c r="F2" s="1">
        <f>IF(C2="",0,IF(COUNTIFS($A$2:A2,A2,$B$2:B2,B2,$C$2:C2,C2)=1,1,0))</f>
        <v>0</v>
      </c>
    </row>
    <row r="3" spans="1:6" x14ac:dyDescent="0.2">
      <c r="A3" t="s">
        <v>5</v>
      </c>
      <c r="B3" t="s">
        <v>1060</v>
      </c>
      <c r="E3" s="1">
        <f>IF(COUNTIFS($A$2:A3,A3,$B$2:B3,B3)=1,1,0)</f>
        <v>1</v>
      </c>
      <c r="F3" s="1">
        <f>IF(C3="",0,IF(COUNTIFS($A$2:A3,A3,$B$2:B3,B3,$C$2:C3,C3)=1,1,0))</f>
        <v>0</v>
      </c>
    </row>
    <row r="4" spans="1:6" x14ac:dyDescent="0.2">
      <c r="A4" t="s">
        <v>8</v>
      </c>
      <c r="B4" t="s">
        <v>1059</v>
      </c>
      <c r="C4" t="s">
        <v>1246</v>
      </c>
      <c r="D4" t="s">
        <v>1247</v>
      </c>
      <c r="E4" s="1">
        <f>IF(COUNTIFS($A$2:A4,A4,$B$2:B4,B4)=1,1,0)</f>
        <v>1</v>
      </c>
      <c r="F4" s="1">
        <f>IF(C4="",0,IF(COUNTIFS($A$2:A4,A4,$B$2:B4,B4,$C$2:C4,C4)=1,1,0))</f>
        <v>1</v>
      </c>
    </row>
    <row r="5" spans="1:6" x14ac:dyDescent="0.2">
      <c r="A5" t="s">
        <v>11</v>
      </c>
      <c r="B5" t="s">
        <v>1061</v>
      </c>
      <c r="C5" t="s">
        <v>1248</v>
      </c>
      <c r="E5" s="1">
        <f>IF(COUNTIFS($A$2:A5,A5,$B$2:B5,B5)=1,1,0)</f>
        <v>1</v>
      </c>
      <c r="F5" s="1">
        <f>IF(C5="",0,IF(COUNTIFS($A$2:A5,A5,$B$2:B5,B5,$C$2:C5,C5)=1,1,0))</f>
        <v>1</v>
      </c>
    </row>
    <row r="6" spans="1:6" x14ac:dyDescent="0.2">
      <c r="A6" t="s">
        <v>14</v>
      </c>
      <c r="B6" t="s">
        <v>1060</v>
      </c>
      <c r="E6" s="1">
        <f>IF(COUNTIFS($A$2:A6,A6,$B$2:B6,B6)=1,1,0)</f>
        <v>1</v>
      </c>
      <c r="F6" s="1">
        <f>IF(C6="",0,IF(COUNTIFS($A$2:A6,A6,$B$2:B6,B6,$C$2:C6,C6)=1,1,0))</f>
        <v>0</v>
      </c>
    </row>
    <row r="7" spans="1:6" x14ac:dyDescent="0.2">
      <c r="A7" t="s">
        <v>17</v>
      </c>
      <c r="B7" t="s">
        <v>1060</v>
      </c>
      <c r="E7" s="1">
        <f>IF(COUNTIFS($A$2:A7,A7,$B$2:B7,B7)=1,1,0)</f>
        <v>1</v>
      </c>
      <c r="F7" s="1">
        <f>IF(C7="",0,IF(COUNTIFS($A$2:A7,A7,$B$2:B7,B7,$C$2:C7,C7)=1,1,0))</f>
        <v>0</v>
      </c>
    </row>
    <row r="8" spans="1:6" x14ac:dyDescent="0.2">
      <c r="A8" t="s">
        <v>20</v>
      </c>
      <c r="B8" t="s">
        <v>1059</v>
      </c>
      <c r="C8" t="s">
        <v>1244</v>
      </c>
      <c r="D8" t="s">
        <v>21</v>
      </c>
      <c r="E8" s="1">
        <f>IF(COUNTIFS($A$2:A8,A8,$B$2:B8,B8)=1,1,0)</f>
        <v>1</v>
      </c>
      <c r="F8" s="1">
        <f>IF(C8="",0,IF(COUNTIFS($A$2:A8,A8,$B$2:B8,B8,$C$2:C8,C8)=1,1,0))</f>
        <v>1</v>
      </c>
    </row>
    <row r="9" spans="1:6" x14ac:dyDescent="0.2">
      <c r="A9" t="s">
        <v>23</v>
      </c>
      <c r="B9" t="s">
        <v>1061</v>
      </c>
      <c r="C9" t="s">
        <v>1249</v>
      </c>
      <c r="D9" t="s">
        <v>1250</v>
      </c>
      <c r="E9" s="1">
        <f>IF(COUNTIFS($A$2:A9,A9,$B$2:B9,B9)=1,1,0)</f>
        <v>1</v>
      </c>
      <c r="F9" s="1">
        <f>IF(C9="",0,IF(COUNTIFS($A$2:A9,A9,$B$2:B9,B9,$C$2:C9,C9)=1,1,0))</f>
        <v>1</v>
      </c>
    </row>
    <row r="10" spans="1:6" x14ac:dyDescent="0.2">
      <c r="A10" t="s">
        <v>27</v>
      </c>
      <c r="B10" t="s">
        <v>1060</v>
      </c>
      <c r="E10" s="1">
        <f>IF(COUNTIFS($A$2:A10,A10,$B$2:B10,B10)=1,1,0)</f>
        <v>1</v>
      </c>
      <c r="F10" s="1">
        <f>IF(C10="",0,IF(COUNTIFS($A$2:A10,A10,$B$2:B10,B10,$C$2:C10,C10)=1,1,0))</f>
        <v>0</v>
      </c>
    </row>
    <row r="11" spans="1:6" x14ac:dyDescent="0.2">
      <c r="A11" t="s">
        <v>30</v>
      </c>
      <c r="B11" t="s">
        <v>1063</v>
      </c>
      <c r="C11" t="s">
        <v>1251</v>
      </c>
      <c r="D11" t="s">
        <v>1252</v>
      </c>
      <c r="E11" s="1">
        <f>IF(COUNTIFS($A$2:A11,A11,$B$2:B11,B11)=1,1,0)</f>
        <v>1</v>
      </c>
      <c r="F11" s="1">
        <f>IF(C11="",0,IF(COUNTIFS($A$2:A11,A11,$B$2:B11,B11,$C$2:C11,C11)=1,1,0))</f>
        <v>1</v>
      </c>
    </row>
    <row r="12" spans="1:6" x14ac:dyDescent="0.2">
      <c r="A12" t="s">
        <v>30</v>
      </c>
      <c r="B12" t="s">
        <v>1059</v>
      </c>
      <c r="C12" t="s">
        <v>1253</v>
      </c>
      <c r="D12" t="s">
        <v>1254</v>
      </c>
      <c r="E12" s="1">
        <f>IF(COUNTIFS($A$2:A12,A12,$B$2:B12,B12)=1,1,0)</f>
        <v>1</v>
      </c>
      <c r="F12" s="1">
        <f>IF(C12="",0,IF(COUNTIFS($A$2:A12,A12,$B$2:B12,B12,$C$2:C12,C12)=1,1,0))</f>
        <v>1</v>
      </c>
    </row>
    <row r="13" spans="1:6" x14ac:dyDescent="0.2">
      <c r="A13" t="s">
        <v>34</v>
      </c>
      <c r="B13" t="s">
        <v>1059</v>
      </c>
      <c r="C13" t="s">
        <v>1255</v>
      </c>
      <c r="D13" t="s">
        <v>1256</v>
      </c>
      <c r="E13" s="1">
        <f>IF(COUNTIFS($A$2:A13,A13,$B$2:B13,B13)=1,1,0)</f>
        <v>1</v>
      </c>
      <c r="F13" s="1">
        <f>IF(C13="",0,IF(COUNTIFS($A$2:A13,A13,$B$2:B13,B13,$C$2:C13,C13)=1,1,0))</f>
        <v>1</v>
      </c>
    </row>
    <row r="14" spans="1:6" x14ac:dyDescent="0.2">
      <c r="A14" t="s">
        <v>38</v>
      </c>
      <c r="B14" t="s">
        <v>1061</v>
      </c>
      <c r="C14" t="s">
        <v>1249</v>
      </c>
      <c r="E14" s="1">
        <f>IF(COUNTIFS($A$2:A14,A14,$B$2:B14,B14)=1,1,0)</f>
        <v>1</v>
      </c>
      <c r="F14" s="1">
        <f>IF(C14="",0,IF(COUNTIFS($A$2:A14,A14,$B$2:B14,B14,$C$2:C14,C14)=1,1,0))</f>
        <v>1</v>
      </c>
    </row>
    <row r="15" spans="1:6" x14ac:dyDescent="0.2">
      <c r="A15" t="s">
        <v>41</v>
      </c>
      <c r="B15" t="s">
        <v>1061</v>
      </c>
      <c r="C15" t="s">
        <v>1249</v>
      </c>
      <c r="D15" t="s">
        <v>1250</v>
      </c>
      <c r="E15" s="1">
        <f>IF(COUNTIFS($A$2:A15,A15,$B$2:B15,B15)=1,1,0)</f>
        <v>1</v>
      </c>
      <c r="F15" s="1">
        <f>IF(C15="",0,IF(COUNTIFS($A$2:A15,A15,$B$2:B15,B15,$C$2:C15,C15)=1,1,0))</f>
        <v>1</v>
      </c>
    </row>
    <row r="16" spans="1:6" x14ac:dyDescent="0.2">
      <c r="A16" t="s">
        <v>44</v>
      </c>
      <c r="B16" t="s">
        <v>1061</v>
      </c>
      <c r="C16" t="s">
        <v>1249</v>
      </c>
      <c r="D16" t="s">
        <v>1257</v>
      </c>
      <c r="E16" s="1">
        <f>IF(COUNTIFS($A$2:A16,A16,$B$2:B16,B16)=1,1,0)</f>
        <v>1</v>
      </c>
      <c r="F16" s="1">
        <f>IF(C16="",0,IF(COUNTIFS($A$2:A16,A16,$B$2:B16,B16,$C$2:C16,C16)=1,1,0))</f>
        <v>1</v>
      </c>
    </row>
    <row r="17" spans="1:6" x14ac:dyDescent="0.2">
      <c r="A17" t="s">
        <v>47</v>
      </c>
      <c r="B17" t="s">
        <v>1063</v>
      </c>
      <c r="C17" t="s">
        <v>1251</v>
      </c>
      <c r="D17" t="s">
        <v>1258</v>
      </c>
      <c r="E17" s="1">
        <f>IF(COUNTIFS($A$2:A17,A17,$B$2:B17,B17)=1,1,0)</f>
        <v>1</v>
      </c>
      <c r="F17" s="1">
        <f>IF(C17="",0,IF(COUNTIFS($A$2:A17,A17,$B$2:B17,B17,$C$2:C17,C17)=1,1,0))</f>
        <v>1</v>
      </c>
    </row>
    <row r="18" spans="1:6" x14ac:dyDescent="0.2">
      <c r="A18" t="s">
        <v>47</v>
      </c>
      <c r="B18" t="s">
        <v>1063</v>
      </c>
      <c r="C18" t="s">
        <v>1259</v>
      </c>
      <c r="E18" s="1">
        <f>IF(COUNTIFS($A$2:A18,A18,$B$2:B18,B18)=1,1,0)</f>
        <v>0</v>
      </c>
      <c r="F18" s="1">
        <f>IF(C18="",0,IF(COUNTIFS($A$2:A18,A18,$B$2:B18,B18,$C$2:C18,C18)=1,1,0))</f>
        <v>1</v>
      </c>
    </row>
    <row r="19" spans="1:6" x14ac:dyDescent="0.2">
      <c r="A19" t="s">
        <v>51</v>
      </c>
      <c r="B19" t="s">
        <v>1059</v>
      </c>
      <c r="C19" t="s">
        <v>1246</v>
      </c>
      <c r="D19" t="s">
        <v>1260</v>
      </c>
      <c r="E19" s="1">
        <f>IF(COUNTIFS($A$2:A19,A19,$B$2:B19,B19)=1,1,0)</f>
        <v>1</v>
      </c>
      <c r="F19" s="1">
        <f>IF(C19="",0,IF(COUNTIFS($A$2:A19,A19,$B$2:B19,B19,$C$2:C19,C19)=1,1,0))</f>
        <v>1</v>
      </c>
    </row>
    <row r="20" spans="1:6" x14ac:dyDescent="0.2">
      <c r="A20" t="s">
        <v>54</v>
      </c>
      <c r="B20" t="s">
        <v>1059</v>
      </c>
      <c r="C20" t="s">
        <v>1261</v>
      </c>
      <c r="D20" t="s">
        <v>1262</v>
      </c>
      <c r="E20" s="1">
        <f>IF(COUNTIFS($A$2:A20,A20,$B$2:B20,B20)=1,1,0)</f>
        <v>1</v>
      </c>
      <c r="F20" s="1">
        <f>IF(C20="",0,IF(COUNTIFS($A$2:A20,A20,$B$2:B20,B20,$C$2:C20,C20)=1,1,0))</f>
        <v>1</v>
      </c>
    </row>
    <row r="21" spans="1:6" x14ac:dyDescent="0.2">
      <c r="A21" t="s">
        <v>57</v>
      </c>
      <c r="B21" t="s">
        <v>1063</v>
      </c>
      <c r="C21" t="s">
        <v>1263</v>
      </c>
      <c r="D21" t="s">
        <v>1264</v>
      </c>
      <c r="E21" s="1">
        <f>IF(COUNTIFS($A$2:A21,A21,$B$2:B21,B21)=1,1,0)</f>
        <v>1</v>
      </c>
      <c r="F21" s="1">
        <f>IF(C21="",0,IF(COUNTIFS($A$2:A21,A21,$B$2:B21,B21,$C$2:C21,C21)=1,1,0))</f>
        <v>1</v>
      </c>
    </row>
    <row r="22" spans="1:6" x14ac:dyDescent="0.2">
      <c r="A22" t="s">
        <v>63</v>
      </c>
      <c r="B22" t="s">
        <v>1061</v>
      </c>
      <c r="C22" t="s">
        <v>1249</v>
      </c>
      <c r="D22" t="s">
        <v>1250</v>
      </c>
      <c r="E22" s="1">
        <f>IF(COUNTIFS($A$2:A22,A22,$B$2:B22,B22)=1,1,0)</f>
        <v>1</v>
      </c>
      <c r="F22" s="1">
        <f>IF(C22="",0,IF(COUNTIFS($A$2:A22,A22,$B$2:B22,B22,$C$2:C22,C22)=1,1,0))</f>
        <v>1</v>
      </c>
    </row>
    <row r="23" spans="1:6" x14ac:dyDescent="0.2">
      <c r="A23" t="s">
        <v>66</v>
      </c>
      <c r="B23" t="s">
        <v>1059</v>
      </c>
      <c r="C23" t="s">
        <v>1265</v>
      </c>
      <c r="D23" t="s">
        <v>1266</v>
      </c>
      <c r="E23" s="1">
        <f>IF(COUNTIFS($A$2:A23,A23,$B$2:B23,B23)=1,1,0)</f>
        <v>1</v>
      </c>
      <c r="F23" s="1">
        <f>IF(C23="",0,IF(COUNTIFS($A$2:A23,A23,$B$2:B23,B23,$C$2:C23,C23)=1,1,0))</f>
        <v>1</v>
      </c>
    </row>
    <row r="24" spans="1:6" x14ac:dyDescent="0.2">
      <c r="A24" t="s">
        <v>69</v>
      </c>
      <c r="B24" t="s">
        <v>1061</v>
      </c>
      <c r="C24" t="s">
        <v>1249</v>
      </c>
      <c r="D24" t="s">
        <v>1250</v>
      </c>
      <c r="E24" s="1">
        <f>IF(COUNTIFS($A$2:A24,A24,$B$2:B24,B24)=1,1,0)</f>
        <v>1</v>
      </c>
      <c r="F24" s="1">
        <f>IF(C24="",0,IF(COUNTIFS($A$2:A24,A24,$B$2:B24,B24,$C$2:C24,C24)=1,1,0))</f>
        <v>1</v>
      </c>
    </row>
    <row r="25" spans="1:6" x14ac:dyDescent="0.2">
      <c r="A25" t="s">
        <v>71</v>
      </c>
      <c r="B25" t="s">
        <v>1061</v>
      </c>
      <c r="C25" t="s">
        <v>1249</v>
      </c>
      <c r="D25" t="s">
        <v>1250</v>
      </c>
      <c r="E25" s="1">
        <f>IF(COUNTIFS($A$2:A25,A25,$B$2:B25,B25)=1,1,0)</f>
        <v>1</v>
      </c>
      <c r="F25" s="1">
        <f>IF(C25="",0,IF(COUNTIFS($A$2:A25,A25,$B$2:B25,B25,$C$2:C25,C25)=1,1,0))</f>
        <v>1</v>
      </c>
    </row>
    <row r="26" spans="1:6" x14ac:dyDescent="0.2">
      <c r="A26" t="s">
        <v>73</v>
      </c>
      <c r="B26" t="s">
        <v>1061</v>
      </c>
      <c r="C26" t="s">
        <v>1249</v>
      </c>
      <c r="D26" t="s">
        <v>1250</v>
      </c>
      <c r="E26" s="1">
        <f>IF(COUNTIFS($A$2:A26,A26,$B$2:B26,B26)=1,1,0)</f>
        <v>1</v>
      </c>
      <c r="F26" s="1">
        <f>IF(C26="",0,IF(COUNTIFS($A$2:A26,A26,$B$2:B26,B26,$C$2:C26,C26)=1,1,0))</f>
        <v>1</v>
      </c>
    </row>
    <row r="27" spans="1:6" x14ac:dyDescent="0.2">
      <c r="A27" t="s">
        <v>75</v>
      </c>
      <c r="B27" t="s">
        <v>1061</v>
      </c>
      <c r="C27" t="s">
        <v>1249</v>
      </c>
      <c r="D27" t="s">
        <v>1267</v>
      </c>
      <c r="E27" s="1">
        <f>IF(COUNTIFS($A$2:A27,A27,$B$2:B27,B27)=1,1,0)</f>
        <v>1</v>
      </c>
      <c r="F27" s="1">
        <f>IF(C27="",0,IF(COUNTIFS($A$2:A27,A27,$B$2:B27,B27,$C$2:C27,C27)=1,1,0))</f>
        <v>1</v>
      </c>
    </row>
    <row r="28" spans="1:6" x14ac:dyDescent="0.2">
      <c r="A28" t="s">
        <v>78</v>
      </c>
      <c r="B28" t="s">
        <v>1063</v>
      </c>
      <c r="C28" t="s">
        <v>1251</v>
      </c>
      <c r="E28" s="1">
        <f>IF(COUNTIFS($A$2:A28,A28,$B$2:B28,B28)=1,1,0)</f>
        <v>1</v>
      </c>
      <c r="F28" s="1">
        <f>IF(C28="",0,IF(COUNTIFS($A$2:A28,A28,$B$2:B28,B28,$C$2:C28,C28)=1,1,0))</f>
        <v>1</v>
      </c>
    </row>
    <row r="29" spans="1:6" x14ac:dyDescent="0.2">
      <c r="A29" t="s">
        <v>81</v>
      </c>
      <c r="B29" t="s">
        <v>1061</v>
      </c>
      <c r="E29" s="1">
        <f>IF(COUNTIFS($A$2:A29,A29,$B$2:B29,B29)=1,1,0)</f>
        <v>1</v>
      </c>
      <c r="F29" s="1">
        <f>IF(C29="",0,IF(COUNTIFS($A$2:A29,A29,$B$2:B29,B29,$C$2:C29,C29)=1,1,0))</f>
        <v>0</v>
      </c>
    </row>
    <row r="30" spans="1:6" x14ac:dyDescent="0.2">
      <c r="A30" t="s">
        <v>81</v>
      </c>
      <c r="B30" t="s">
        <v>1060</v>
      </c>
      <c r="E30" s="1">
        <f>IF(COUNTIFS($A$2:A30,A30,$B$2:B30,B30)=1,1,0)</f>
        <v>1</v>
      </c>
      <c r="F30" s="1">
        <f>IF(C30="",0,IF(COUNTIFS($A$2:A30,A30,$B$2:B30,B30,$C$2:C30,C30)=1,1,0))</f>
        <v>0</v>
      </c>
    </row>
    <row r="31" spans="1:6" x14ac:dyDescent="0.2">
      <c r="A31" t="s">
        <v>84</v>
      </c>
      <c r="B31" t="s">
        <v>1063</v>
      </c>
      <c r="C31" t="s">
        <v>1263</v>
      </c>
      <c r="D31" t="s">
        <v>1264</v>
      </c>
      <c r="E31" s="1">
        <f>IF(COUNTIFS($A$2:A31,A31,$B$2:B31,B31)=1,1,0)</f>
        <v>1</v>
      </c>
      <c r="F31" s="1">
        <f>IF(C31="",0,IF(COUNTIFS($A$2:A31,A31,$B$2:B31,B31,$C$2:C31,C31)=1,1,0))</f>
        <v>1</v>
      </c>
    </row>
    <row r="32" spans="1:6" x14ac:dyDescent="0.2">
      <c r="A32" t="s">
        <v>87</v>
      </c>
      <c r="B32" t="s">
        <v>1063</v>
      </c>
      <c r="C32" t="s">
        <v>1259</v>
      </c>
      <c r="E32" s="1">
        <f>IF(COUNTIFS($A$2:A32,A32,$B$2:B32,B32)=1,1,0)</f>
        <v>1</v>
      </c>
      <c r="F32" s="1">
        <f>IF(C32="",0,IF(COUNTIFS($A$2:A32,A32,$B$2:B32,B32,$C$2:C32,C32)=1,1,0))</f>
        <v>1</v>
      </c>
    </row>
    <row r="33" spans="1:6" x14ac:dyDescent="0.2">
      <c r="A33" t="s">
        <v>90</v>
      </c>
      <c r="B33" t="s">
        <v>1061</v>
      </c>
      <c r="C33" t="s">
        <v>1249</v>
      </c>
      <c r="E33" s="1">
        <f>IF(COUNTIFS($A$2:A33,A33,$B$2:B33,B33)=1,1,0)</f>
        <v>1</v>
      </c>
      <c r="F33" s="1">
        <f>IF(C33="",0,IF(COUNTIFS($A$2:A33,A33,$B$2:B33,B33,$C$2:C33,C33)=1,1,0))</f>
        <v>1</v>
      </c>
    </row>
    <row r="34" spans="1:6" x14ac:dyDescent="0.2">
      <c r="A34" t="s">
        <v>95</v>
      </c>
      <c r="B34" t="s">
        <v>1061</v>
      </c>
      <c r="C34" t="s">
        <v>1249</v>
      </c>
      <c r="D34" t="s">
        <v>1250</v>
      </c>
      <c r="E34" s="1">
        <f>IF(COUNTIFS($A$2:A34,A34,$B$2:B34,B34)=1,1,0)</f>
        <v>1</v>
      </c>
      <c r="F34" s="1">
        <f>IF(C34="",0,IF(COUNTIFS($A$2:A34,A34,$B$2:B34,B34,$C$2:C34,C34)=1,1,0))</f>
        <v>1</v>
      </c>
    </row>
    <row r="35" spans="1:6" x14ac:dyDescent="0.2">
      <c r="A35" t="s">
        <v>97</v>
      </c>
      <c r="B35" t="s">
        <v>1061</v>
      </c>
      <c r="C35" t="s">
        <v>1249</v>
      </c>
      <c r="D35" t="s">
        <v>1250</v>
      </c>
      <c r="E35" s="1">
        <f>IF(COUNTIFS($A$2:A35,A35,$B$2:B35,B35)=1,1,0)</f>
        <v>1</v>
      </c>
      <c r="F35" s="1">
        <f>IF(C35="",0,IF(COUNTIFS($A$2:A35,A35,$B$2:B35,B35,$C$2:C35,C35)=1,1,0))</f>
        <v>1</v>
      </c>
    </row>
    <row r="36" spans="1:6" x14ac:dyDescent="0.2">
      <c r="A36" t="s">
        <v>97</v>
      </c>
      <c r="B36" t="s">
        <v>1063</v>
      </c>
      <c r="C36" t="s">
        <v>1251</v>
      </c>
      <c r="E36" s="1">
        <f>IF(COUNTIFS($A$2:A36,A36,$B$2:B36,B36)=1,1,0)</f>
        <v>1</v>
      </c>
      <c r="F36" s="1">
        <f>IF(C36="",0,IF(COUNTIFS($A$2:A36,A36,$B$2:B36,B36,$C$2:C36,C36)=1,1,0))</f>
        <v>1</v>
      </c>
    </row>
    <row r="37" spans="1:6" x14ac:dyDescent="0.2">
      <c r="A37" t="s">
        <v>100</v>
      </c>
      <c r="B37" t="s">
        <v>1061</v>
      </c>
      <c r="C37" t="s">
        <v>1248</v>
      </c>
      <c r="E37" s="1">
        <f>IF(COUNTIFS($A$2:A37,A37,$B$2:B37,B37)=1,1,0)</f>
        <v>1</v>
      </c>
      <c r="F37" s="1">
        <f>IF(C37="",0,IF(COUNTIFS($A$2:A37,A37,$B$2:B37,B37,$C$2:C37,C37)=1,1,0))</f>
        <v>1</v>
      </c>
    </row>
    <row r="38" spans="1:6" x14ac:dyDescent="0.2">
      <c r="A38" t="s">
        <v>102</v>
      </c>
      <c r="B38" t="s">
        <v>1061</v>
      </c>
      <c r="C38" t="s">
        <v>1249</v>
      </c>
      <c r="D38" t="s">
        <v>1250</v>
      </c>
      <c r="E38" s="1">
        <f>IF(COUNTIFS($A$2:A38,A38,$B$2:B38,B38)=1,1,0)</f>
        <v>1</v>
      </c>
      <c r="F38" s="1">
        <f>IF(C38="",0,IF(COUNTIFS($A$2:A38,A38,$B$2:B38,B38,$C$2:C38,C38)=1,1,0))</f>
        <v>1</v>
      </c>
    </row>
    <row r="39" spans="1:6" x14ac:dyDescent="0.2">
      <c r="A39" t="s">
        <v>104</v>
      </c>
      <c r="B39" t="s">
        <v>1061</v>
      </c>
      <c r="C39" t="s">
        <v>1268</v>
      </c>
      <c r="D39" t="s">
        <v>1269</v>
      </c>
      <c r="E39" s="1">
        <f>IF(COUNTIFS($A$2:A39,A39,$B$2:B39,B39)=1,1,0)</f>
        <v>1</v>
      </c>
      <c r="F39" s="1">
        <f>IF(C39="",0,IF(COUNTIFS($A$2:A39,A39,$B$2:B39,B39,$C$2:C39,C39)=1,1,0))</f>
        <v>1</v>
      </c>
    </row>
    <row r="40" spans="1:6" x14ac:dyDescent="0.2">
      <c r="A40" t="s">
        <v>104</v>
      </c>
      <c r="B40" t="s">
        <v>1063</v>
      </c>
      <c r="C40" t="s">
        <v>1263</v>
      </c>
      <c r="D40" t="s">
        <v>1264</v>
      </c>
      <c r="E40" s="1">
        <f>IF(COUNTIFS($A$2:A40,A40,$B$2:B40,B40)=1,1,0)</f>
        <v>1</v>
      </c>
      <c r="F40" s="1">
        <f>IF(C40="",0,IF(COUNTIFS($A$2:A40,A40,$B$2:B40,B40,$C$2:C40,C40)=1,1,0))</f>
        <v>1</v>
      </c>
    </row>
    <row r="41" spans="1:6" x14ac:dyDescent="0.2">
      <c r="A41" t="s">
        <v>107</v>
      </c>
      <c r="B41" t="s">
        <v>1060</v>
      </c>
      <c r="E41" s="1">
        <f>IF(COUNTIFS($A$2:A41,A41,$B$2:B41,B41)=1,1,0)</f>
        <v>1</v>
      </c>
      <c r="F41" s="1">
        <f>IF(C41="",0,IF(COUNTIFS($A$2:A41,A41,$B$2:B41,B41,$C$2:C41,C41)=1,1,0))</f>
        <v>0</v>
      </c>
    </row>
    <row r="42" spans="1:6" x14ac:dyDescent="0.2">
      <c r="A42" t="s">
        <v>110</v>
      </c>
      <c r="B42" t="s">
        <v>1061</v>
      </c>
      <c r="C42" t="s">
        <v>1249</v>
      </c>
      <c r="D42" t="s">
        <v>1250</v>
      </c>
      <c r="E42" s="1">
        <f>IF(COUNTIFS($A$2:A42,A42,$B$2:B42,B42)=1,1,0)</f>
        <v>1</v>
      </c>
      <c r="F42" s="1">
        <f>IF(C42="",0,IF(COUNTIFS($A$2:A42,A42,$B$2:B42,B42,$C$2:C42,C42)=1,1,0))</f>
        <v>1</v>
      </c>
    </row>
    <row r="43" spans="1:6" x14ac:dyDescent="0.2">
      <c r="A43" t="s">
        <v>110</v>
      </c>
      <c r="B43" t="s">
        <v>1060</v>
      </c>
      <c r="E43" s="1">
        <f>IF(COUNTIFS($A$2:A43,A43,$B$2:B43,B43)=1,1,0)</f>
        <v>1</v>
      </c>
      <c r="F43" s="1">
        <f>IF(C43="",0,IF(COUNTIFS($A$2:A43,A43,$B$2:B43,B43,$C$2:C43,C43)=1,1,0))</f>
        <v>0</v>
      </c>
    </row>
    <row r="44" spans="1:6" x14ac:dyDescent="0.2">
      <c r="A44" t="s">
        <v>113</v>
      </c>
      <c r="B44" t="s">
        <v>1059</v>
      </c>
      <c r="C44" t="s">
        <v>1255</v>
      </c>
      <c r="D44" t="s">
        <v>1256</v>
      </c>
      <c r="E44" s="1">
        <f>IF(COUNTIFS($A$2:A44,A44,$B$2:B44,B44)=1,1,0)</f>
        <v>1</v>
      </c>
      <c r="F44" s="1">
        <f>IF(C44="",0,IF(COUNTIFS($A$2:A44,A44,$B$2:B44,B44,$C$2:C44,C44)=1,1,0))</f>
        <v>1</v>
      </c>
    </row>
    <row r="45" spans="1:6" x14ac:dyDescent="0.2">
      <c r="A45" t="s">
        <v>116</v>
      </c>
      <c r="B45" t="s">
        <v>1060</v>
      </c>
      <c r="E45" s="1">
        <f>IF(COUNTIFS($A$2:A45,A45,$B$2:B45,B45)=1,1,0)</f>
        <v>1</v>
      </c>
      <c r="F45" s="1">
        <f>IF(C45="",0,IF(COUNTIFS($A$2:A45,A45,$B$2:B45,B45,$C$2:C45,C45)=1,1,0))</f>
        <v>0</v>
      </c>
    </row>
    <row r="46" spans="1:6" x14ac:dyDescent="0.2">
      <c r="A46" t="s">
        <v>119</v>
      </c>
      <c r="B46" t="s">
        <v>1063</v>
      </c>
      <c r="C46" t="s">
        <v>1263</v>
      </c>
      <c r="D46" t="s">
        <v>1264</v>
      </c>
      <c r="E46" s="1">
        <f>IF(COUNTIFS($A$2:A46,A46,$B$2:B46,B46)=1,1,0)</f>
        <v>1</v>
      </c>
      <c r="F46" s="1">
        <f>IF(C46="",0,IF(COUNTIFS($A$2:A46,A46,$B$2:B46,B46,$C$2:C46,C46)=1,1,0))</f>
        <v>1</v>
      </c>
    </row>
    <row r="47" spans="1:6" x14ac:dyDescent="0.2">
      <c r="A47" t="s">
        <v>119</v>
      </c>
      <c r="B47" t="s">
        <v>1063</v>
      </c>
      <c r="C47" t="s">
        <v>1251</v>
      </c>
      <c r="E47" s="1">
        <f>IF(COUNTIFS($A$2:A47,A47,$B$2:B47,B47)=1,1,0)</f>
        <v>0</v>
      </c>
      <c r="F47" s="1">
        <f>IF(C47="",0,IF(COUNTIFS($A$2:A47,A47,$B$2:B47,B47,$C$2:C47,C47)=1,1,0))</f>
        <v>1</v>
      </c>
    </row>
    <row r="48" spans="1:6" x14ac:dyDescent="0.2">
      <c r="A48" t="s">
        <v>122</v>
      </c>
      <c r="B48" t="s">
        <v>1059</v>
      </c>
      <c r="C48" t="s">
        <v>1255</v>
      </c>
      <c r="D48" t="s">
        <v>1256</v>
      </c>
      <c r="E48" s="1">
        <f>IF(COUNTIFS($A$2:A48,A48,$B$2:B48,B48)=1,1,0)</f>
        <v>1</v>
      </c>
      <c r="F48" s="1">
        <f>IF(C48="",0,IF(COUNTIFS($A$2:A48,A48,$B$2:B48,B48,$C$2:C48,C48)=1,1,0))</f>
        <v>1</v>
      </c>
    </row>
    <row r="49" spans="1:6" x14ac:dyDescent="0.2">
      <c r="A49" t="s">
        <v>122</v>
      </c>
      <c r="B49" t="s">
        <v>1059</v>
      </c>
      <c r="C49" t="s">
        <v>1255</v>
      </c>
      <c r="D49" t="s">
        <v>1270</v>
      </c>
      <c r="E49" s="1">
        <f>IF(COUNTIFS($A$2:A49,A49,$B$2:B49,B49)=1,1,0)</f>
        <v>0</v>
      </c>
      <c r="F49" s="1">
        <f>IF(C49="",0,IF(COUNTIFS($A$2:A49,A49,$B$2:B49,B49,$C$2:C49,C49)=1,1,0))</f>
        <v>0</v>
      </c>
    </row>
    <row r="50" spans="1:6" x14ac:dyDescent="0.2">
      <c r="A50" t="s">
        <v>126</v>
      </c>
      <c r="B50" t="s">
        <v>1061</v>
      </c>
      <c r="C50" t="s">
        <v>1249</v>
      </c>
      <c r="E50" s="1">
        <f>IF(COUNTIFS($A$2:A50,A50,$B$2:B50,B50)=1,1,0)</f>
        <v>1</v>
      </c>
      <c r="F50" s="1">
        <f>IF(C50="",0,IF(COUNTIFS($A$2:A50,A50,$B$2:B50,B50,$C$2:C50,C50)=1,1,0))</f>
        <v>1</v>
      </c>
    </row>
    <row r="51" spans="1:6" x14ac:dyDescent="0.2">
      <c r="A51" t="s">
        <v>128</v>
      </c>
      <c r="B51" t="s">
        <v>1061</v>
      </c>
      <c r="C51" t="s">
        <v>1249</v>
      </c>
      <c r="D51" t="s">
        <v>1250</v>
      </c>
      <c r="E51" s="1">
        <f>IF(COUNTIFS($A$2:A51,A51,$B$2:B51,B51)=1,1,0)</f>
        <v>1</v>
      </c>
      <c r="F51" s="1">
        <f>IF(C51="",0,IF(COUNTIFS($A$2:A51,A51,$B$2:B51,B51,$C$2:C51,C51)=1,1,0))</f>
        <v>1</v>
      </c>
    </row>
    <row r="52" spans="1:6" x14ac:dyDescent="0.2">
      <c r="A52" t="s">
        <v>130</v>
      </c>
      <c r="B52" t="s">
        <v>1060</v>
      </c>
      <c r="E52" s="1">
        <f>IF(COUNTIFS($A$2:A52,A52,$B$2:B52,B52)=1,1,0)</f>
        <v>1</v>
      </c>
      <c r="F52" s="1">
        <f>IF(C52="",0,IF(COUNTIFS($A$2:A52,A52,$B$2:B52,B52,$C$2:C52,C52)=1,1,0))</f>
        <v>0</v>
      </c>
    </row>
    <row r="53" spans="1:6" x14ac:dyDescent="0.2">
      <c r="A53" t="s">
        <v>132</v>
      </c>
      <c r="B53" t="s">
        <v>1059</v>
      </c>
      <c r="C53" t="s">
        <v>1265</v>
      </c>
      <c r="D53" t="s">
        <v>1271</v>
      </c>
      <c r="E53" s="1">
        <f>IF(COUNTIFS($A$2:A53,A53,$B$2:B53,B53)=1,1,0)</f>
        <v>1</v>
      </c>
      <c r="F53" s="1">
        <f>IF(C53="",0,IF(COUNTIFS($A$2:A53,A53,$B$2:B53,B53,$C$2:C53,C53)=1,1,0))</f>
        <v>1</v>
      </c>
    </row>
    <row r="54" spans="1:6" x14ac:dyDescent="0.2">
      <c r="A54" t="s">
        <v>136</v>
      </c>
      <c r="B54" t="s">
        <v>1060</v>
      </c>
      <c r="E54" s="1">
        <f>IF(COUNTIFS($A$2:A54,A54,$B$2:B54,B54)=1,1,0)</f>
        <v>1</v>
      </c>
      <c r="F54" s="1">
        <f>IF(C54="",0,IF(COUNTIFS($A$2:A54,A54,$B$2:B54,B54,$C$2:C54,C54)=1,1,0))</f>
        <v>0</v>
      </c>
    </row>
    <row r="55" spans="1:6" x14ac:dyDescent="0.2">
      <c r="A55" t="s">
        <v>139</v>
      </c>
      <c r="B55" t="s">
        <v>1061</v>
      </c>
      <c r="C55" t="s">
        <v>1249</v>
      </c>
      <c r="D55" t="s">
        <v>1250</v>
      </c>
      <c r="E55" s="1">
        <f>IF(COUNTIFS($A$2:A55,A55,$B$2:B55,B55)=1,1,0)</f>
        <v>1</v>
      </c>
      <c r="F55" s="1">
        <f>IF(C55="",0,IF(COUNTIFS($A$2:A55,A55,$B$2:B55,B55,$C$2:C55,C55)=1,1,0))</f>
        <v>1</v>
      </c>
    </row>
    <row r="56" spans="1:6" x14ac:dyDescent="0.2">
      <c r="A56" t="s">
        <v>139</v>
      </c>
      <c r="B56" t="s">
        <v>1063</v>
      </c>
      <c r="C56" t="s">
        <v>1251</v>
      </c>
      <c r="E56" s="1">
        <f>IF(COUNTIFS($A$2:A56,A56,$B$2:B56,B56)=1,1,0)</f>
        <v>1</v>
      </c>
      <c r="F56" s="1">
        <f>IF(C56="",0,IF(COUNTIFS($A$2:A56,A56,$B$2:B56,B56,$C$2:C56,C56)=1,1,0))</f>
        <v>1</v>
      </c>
    </row>
    <row r="57" spans="1:6" x14ac:dyDescent="0.2">
      <c r="A57" t="s">
        <v>141</v>
      </c>
      <c r="B57" t="s">
        <v>1059</v>
      </c>
      <c r="C57" t="s">
        <v>1255</v>
      </c>
      <c r="D57" t="s">
        <v>1256</v>
      </c>
      <c r="E57" s="1">
        <f>IF(COUNTIFS($A$2:A57,A57,$B$2:B57,B57)=1,1,0)</f>
        <v>1</v>
      </c>
      <c r="F57" s="1">
        <f>IF(C57="",0,IF(COUNTIFS($A$2:A57,A57,$B$2:B57,B57,$C$2:C57,C57)=1,1,0))</f>
        <v>1</v>
      </c>
    </row>
    <row r="58" spans="1:6" x14ac:dyDescent="0.2">
      <c r="A58" t="s">
        <v>145</v>
      </c>
      <c r="B58" t="s">
        <v>1060</v>
      </c>
      <c r="E58" s="1">
        <f>IF(COUNTIFS($A$2:A58,A58,$B$2:B58,B58)=1,1,0)</f>
        <v>1</v>
      </c>
      <c r="F58" s="1">
        <f>IF(C58="",0,IF(COUNTIFS($A$2:A58,A58,$B$2:B58,B58,$C$2:C58,C58)=1,1,0))</f>
        <v>0</v>
      </c>
    </row>
    <row r="59" spans="1:6" x14ac:dyDescent="0.2">
      <c r="A59" t="s">
        <v>148</v>
      </c>
      <c r="B59" t="s">
        <v>1061</v>
      </c>
      <c r="C59" t="s">
        <v>1249</v>
      </c>
      <c r="E59" s="1">
        <f>IF(COUNTIFS($A$2:A59,A59,$B$2:B59,B59)=1,1,0)</f>
        <v>1</v>
      </c>
      <c r="F59" s="1">
        <f>IF(C59="",0,IF(COUNTIFS($A$2:A59,A59,$B$2:B59,B59,$C$2:C59,C59)=1,1,0))</f>
        <v>1</v>
      </c>
    </row>
    <row r="60" spans="1:6" x14ac:dyDescent="0.2">
      <c r="A60" t="s">
        <v>148</v>
      </c>
      <c r="B60" t="s">
        <v>1063</v>
      </c>
      <c r="C60" t="s">
        <v>1259</v>
      </c>
      <c r="E60" s="1">
        <f>IF(COUNTIFS($A$2:A60,A60,$B$2:B60,B60)=1,1,0)</f>
        <v>1</v>
      </c>
      <c r="F60" s="1">
        <f>IF(C60="",0,IF(COUNTIFS($A$2:A60,A60,$B$2:B60,B60,$C$2:C60,C60)=1,1,0))</f>
        <v>1</v>
      </c>
    </row>
    <row r="61" spans="1:6" x14ac:dyDescent="0.2">
      <c r="A61" t="s">
        <v>151</v>
      </c>
      <c r="B61" t="s">
        <v>1060</v>
      </c>
      <c r="E61" s="1">
        <f>IF(COUNTIFS($A$2:A61,A61,$B$2:B61,B61)=1,1,0)</f>
        <v>1</v>
      </c>
      <c r="F61" s="1">
        <f>IF(C61="",0,IF(COUNTIFS($A$2:A61,A61,$B$2:B61,B61,$C$2:C61,C61)=1,1,0))</f>
        <v>0</v>
      </c>
    </row>
    <row r="62" spans="1:6" x14ac:dyDescent="0.2">
      <c r="A62" t="s">
        <v>154</v>
      </c>
      <c r="B62" t="s">
        <v>1059</v>
      </c>
      <c r="C62" t="s">
        <v>1255</v>
      </c>
      <c r="D62" t="s">
        <v>1256</v>
      </c>
      <c r="E62" s="1">
        <f>IF(COUNTIFS($A$2:A62,A62,$B$2:B62,B62)=1,1,0)</f>
        <v>1</v>
      </c>
      <c r="F62" s="1">
        <f>IF(C62="",0,IF(COUNTIFS($A$2:A62,A62,$B$2:B62,B62,$C$2:C62,C62)=1,1,0))</f>
        <v>1</v>
      </c>
    </row>
    <row r="63" spans="1:6" x14ac:dyDescent="0.2">
      <c r="A63" t="s">
        <v>154</v>
      </c>
      <c r="B63" t="s">
        <v>1059</v>
      </c>
      <c r="C63" t="s">
        <v>1265</v>
      </c>
      <c r="D63" t="s">
        <v>1271</v>
      </c>
      <c r="E63" s="1">
        <f>IF(COUNTIFS($A$2:A63,A63,$B$2:B63,B63)=1,1,0)</f>
        <v>0</v>
      </c>
      <c r="F63" s="1">
        <f>IF(C63="",0,IF(COUNTIFS($A$2:A63,A63,$B$2:B63,B63,$C$2:C63,C63)=1,1,0))</f>
        <v>1</v>
      </c>
    </row>
    <row r="64" spans="1:6" x14ac:dyDescent="0.2">
      <c r="A64" t="s">
        <v>158</v>
      </c>
      <c r="B64" t="s">
        <v>1061</v>
      </c>
      <c r="C64" t="s">
        <v>1249</v>
      </c>
      <c r="D64" t="s">
        <v>1250</v>
      </c>
      <c r="E64" s="1">
        <f>IF(COUNTIFS($A$2:A64,A64,$B$2:B64,B64)=1,1,0)</f>
        <v>1</v>
      </c>
      <c r="F64" s="1">
        <f>IF(C64="",0,IF(COUNTIFS($A$2:A64,A64,$B$2:B64,B64,$C$2:C64,C64)=1,1,0))</f>
        <v>1</v>
      </c>
    </row>
    <row r="65" spans="1:6" x14ac:dyDescent="0.2">
      <c r="A65" t="s">
        <v>158</v>
      </c>
      <c r="B65" t="s">
        <v>1063</v>
      </c>
      <c r="C65" t="s">
        <v>1251</v>
      </c>
      <c r="E65" s="1">
        <f>IF(COUNTIFS($A$2:A65,A65,$B$2:B65,B65)=1,1,0)</f>
        <v>1</v>
      </c>
      <c r="F65" s="1">
        <f>IF(C65="",0,IF(COUNTIFS($A$2:A65,A65,$B$2:B65,B65,$C$2:C65,C65)=1,1,0))</f>
        <v>1</v>
      </c>
    </row>
    <row r="66" spans="1:6" x14ac:dyDescent="0.2">
      <c r="A66" t="s">
        <v>160</v>
      </c>
      <c r="B66" t="s">
        <v>1063</v>
      </c>
      <c r="C66" t="s">
        <v>1263</v>
      </c>
      <c r="D66" t="s">
        <v>1264</v>
      </c>
      <c r="E66" s="1">
        <f>IF(COUNTIFS($A$2:A66,A66,$B$2:B66,B66)=1,1,0)</f>
        <v>1</v>
      </c>
      <c r="F66" s="1">
        <f>IF(C66="",0,IF(COUNTIFS($A$2:A66,A66,$B$2:B66,B66,$C$2:C66,C66)=1,1,0))</f>
        <v>1</v>
      </c>
    </row>
    <row r="67" spans="1:6" x14ac:dyDescent="0.2">
      <c r="A67" t="s">
        <v>162</v>
      </c>
      <c r="B67" t="s">
        <v>1061</v>
      </c>
      <c r="C67" t="s">
        <v>1249</v>
      </c>
      <c r="D67" t="s">
        <v>1250</v>
      </c>
      <c r="E67" s="1">
        <f>IF(COUNTIFS($A$2:A67,A67,$B$2:B67,B67)=1,1,0)</f>
        <v>1</v>
      </c>
      <c r="F67" s="1">
        <f>IF(C67="",0,IF(COUNTIFS($A$2:A67,A67,$B$2:B67,B67,$C$2:C67,C67)=1,1,0))</f>
        <v>1</v>
      </c>
    </row>
    <row r="68" spans="1:6" x14ac:dyDescent="0.2">
      <c r="A68" t="s">
        <v>165</v>
      </c>
      <c r="B68" t="s">
        <v>1061</v>
      </c>
      <c r="C68" t="s">
        <v>1249</v>
      </c>
      <c r="E68" s="1">
        <f>IF(COUNTIFS($A$2:A68,A68,$B$2:B68,B68)=1,1,0)</f>
        <v>1</v>
      </c>
      <c r="F68" s="1">
        <f>IF(C68="",0,IF(COUNTIFS($A$2:A68,A68,$B$2:B68,B68,$C$2:C68,C68)=1,1,0))</f>
        <v>1</v>
      </c>
    </row>
    <row r="69" spans="1:6" x14ac:dyDescent="0.2">
      <c r="A69" t="s">
        <v>165</v>
      </c>
      <c r="B69" t="s">
        <v>1063</v>
      </c>
      <c r="C69" t="s">
        <v>1251</v>
      </c>
      <c r="E69" s="1">
        <f>IF(COUNTIFS($A$2:A69,A69,$B$2:B69,B69)=1,1,0)</f>
        <v>1</v>
      </c>
      <c r="F69" s="1">
        <f>IF(C69="",0,IF(COUNTIFS($A$2:A69,A69,$B$2:B69,B69,$C$2:C69,C69)=1,1,0))</f>
        <v>1</v>
      </c>
    </row>
    <row r="70" spans="1:6" x14ac:dyDescent="0.2">
      <c r="A70" t="s">
        <v>168</v>
      </c>
      <c r="B70" t="s">
        <v>1060</v>
      </c>
      <c r="E70" s="1">
        <f>IF(COUNTIFS($A$2:A70,A70,$B$2:B70,B70)=1,1,0)</f>
        <v>1</v>
      </c>
      <c r="F70" s="1">
        <f>IF(C70="",0,IF(COUNTIFS($A$2:A70,A70,$B$2:B70,B70,$C$2:C70,C70)=1,1,0))</f>
        <v>0</v>
      </c>
    </row>
    <row r="71" spans="1:6" x14ac:dyDescent="0.2">
      <c r="A71" t="s">
        <v>172</v>
      </c>
      <c r="B71" t="s">
        <v>1061</v>
      </c>
      <c r="C71" t="s">
        <v>1249</v>
      </c>
      <c r="E71" s="1">
        <f>IF(COUNTIFS($A$2:A71,A71,$B$2:B71,B71)=1,1,0)</f>
        <v>1</v>
      </c>
      <c r="F71" s="1">
        <f>IF(C71="",0,IF(COUNTIFS($A$2:A71,A71,$B$2:B71,B71,$C$2:C71,C71)=1,1,0))</f>
        <v>1</v>
      </c>
    </row>
    <row r="72" spans="1:6" x14ac:dyDescent="0.2">
      <c r="A72" t="s">
        <v>175</v>
      </c>
      <c r="B72" t="s">
        <v>1060</v>
      </c>
      <c r="E72" s="1">
        <f>IF(COUNTIFS($A$2:A72,A72,$B$2:B72,B72)=1,1,0)</f>
        <v>1</v>
      </c>
      <c r="F72" s="1">
        <f>IF(C72="",0,IF(COUNTIFS($A$2:A72,A72,$B$2:B72,B72,$C$2:C72,C72)=1,1,0))</f>
        <v>0</v>
      </c>
    </row>
    <row r="73" spans="1:6" x14ac:dyDescent="0.2">
      <c r="A73" t="s">
        <v>178</v>
      </c>
      <c r="B73" t="s">
        <v>1061</v>
      </c>
      <c r="C73" t="s">
        <v>1249</v>
      </c>
      <c r="D73" t="s">
        <v>1250</v>
      </c>
      <c r="E73" s="1">
        <f>IF(COUNTIFS($A$2:A73,A73,$B$2:B73,B73)=1,1,0)</f>
        <v>1</v>
      </c>
      <c r="F73" s="1">
        <f>IF(C73="",0,IF(COUNTIFS($A$2:A73,A73,$B$2:B73,B73,$C$2:C73,C73)=1,1,0))</f>
        <v>1</v>
      </c>
    </row>
    <row r="74" spans="1:6" x14ac:dyDescent="0.2">
      <c r="A74" t="s">
        <v>182</v>
      </c>
      <c r="B74" t="s">
        <v>1059</v>
      </c>
      <c r="C74" t="s">
        <v>1255</v>
      </c>
      <c r="D74" t="s">
        <v>1256</v>
      </c>
      <c r="E74" s="1">
        <f>IF(COUNTIFS($A$2:A74,A74,$B$2:B74,B74)=1,1,0)</f>
        <v>1</v>
      </c>
      <c r="F74" s="1">
        <f>IF(C74="",0,IF(COUNTIFS($A$2:A74,A74,$B$2:B74,B74,$C$2:C74,C74)=1,1,0))</f>
        <v>1</v>
      </c>
    </row>
    <row r="75" spans="1:6" x14ac:dyDescent="0.2">
      <c r="A75" t="s">
        <v>186</v>
      </c>
      <c r="B75" t="s">
        <v>1059</v>
      </c>
      <c r="C75" t="s">
        <v>1261</v>
      </c>
      <c r="D75" t="s">
        <v>1273</v>
      </c>
      <c r="E75" s="1">
        <f>IF(COUNTIFS($A$2:A75,A75,$B$2:B75,B75)=1,1,0)</f>
        <v>1</v>
      </c>
      <c r="F75" s="1">
        <f>IF(C75="",0,IF(COUNTIFS($A$2:A75,A75,$B$2:B75,B75,$C$2:C75,C75)=1,1,0))</f>
        <v>1</v>
      </c>
    </row>
    <row r="76" spans="1:6" x14ac:dyDescent="0.2">
      <c r="A76" t="s">
        <v>191</v>
      </c>
      <c r="B76" t="s">
        <v>1060</v>
      </c>
      <c r="E76" s="1">
        <f>IF(COUNTIFS($A$2:A76,A76,$B$2:B76,B76)=1,1,0)</f>
        <v>1</v>
      </c>
      <c r="F76" s="1">
        <f>IF(C76="",0,IF(COUNTIFS($A$2:A76,A76,$B$2:B76,B76,$C$2:C76,C76)=1,1,0))</f>
        <v>0</v>
      </c>
    </row>
    <row r="77" spans="1:6" x14ac:dyDescent="0.2">
      <c r="A77" t="s">
        <v>194</v>
      </c>
      <c r="B77" t="s">
        <v>1060</v>
      </c>
      <c r="E77" s="1">
        <f>IF(COUNTIFS($A$2:A77,A77,$B$2:B77,B77)=1,1,0)</f>
        <v>1</v>
      </c>
      <c r="F77" s="1">
        <f>IF(C77="",0,IF(COUNTIFS($A$2:A77,A77,$B$2:B77,B77,$C$2:C77,C77)=1,1,0))</f>
        <v>0</v>
      </c>
    </row>
    <row r="78" spans="1:6" x14ac:dyDescent="0.2">
      <c r="A78" t="s">
        <v>197</v>
      </c>
      <c r="B78" t="s">
        <v>1060</v>
      </c>
      <c r="E78" s="1">
        <f>IF(COUNTIFS($A$2:A78,A78,$B$2:B78,B78)=1,1,0)</f>
        <v>1</v>
      </c>
      <c r="F78" s="1">
        <f>IF(C78="",0,IF(COUNTIFS($A$2:A78,A78,$B$2:B78,B78,$C$2:C78,C78)=1,1,0))</f>
        <v>0</v>
      </c>
    </row>
    <row r="79" spans="1:6" x14ac:dyDescent="0.2">
      <c r="A79" t="s">
        <v>200</v>
      </c>
      <c r="B79" t="s">
        <v>1061</v>
      </c>
      <c r="C79" t="s">
        <v>1249</v>
      </c>
      <c r="D79" t="s">
        <v>1278</v>
      </c>
      <c r="E79" s="1">
        <f>IF(COUNTIFS($A$2:A79,A79,$B$2:B79,B79)=1,1,0)</f>
        <v>1</v>
      </c>
      <c r="F79" s="1">
        <f>IF(C79="",0,IF(COUNTIFS($A$2:A79,A79,$B$2:B79,B79,$C$2:C79,C79)=1,1,0))</f>
        <v>1</v>
      </c>
    </row>
    <row r="80" spans="1:6" x14ac:dyDescent="0.2">
      <c r="A80" t="s">
        <v>203</v>
      </c>
      <c r="B80" t="s">
        <v>1061</v>
      </c>
      <c r="C80" t="s">
        <v>1248</v>
      </c>
      <c r="E80" s="1">
        <f>IF(COUNTIFS($A$2:A80,A80,$B$2:B80,B80)=1,1,0)</f>
        <v>1</v>
      </c>
      <c r="F80" s="1">
        <f>IF(C80="",0,IF(COUNTIFS($A$2:A80,A80,$B$2:B80,B80,$C$2:C80,C80)=1,1,0))</f>
        <v>1</v>
      </c>
    </row>
    <row r="81" spans="1:6" x14ac:dyDescent="0.2">
      <c r="A81" t="s">
        <v>203</v>
      </c>
      <c r="B81" t="s">
        <v>1059</v>
      </c>
      <c r="C81" t="s">
        <v>1246</v>
      </c>
      <c r="D81" t="s">
        <v>1260</v>
      </c>
      <c r="E81" s="1">
        <f>IF(COUNTIFS($A$2:A81,A81,$B$2:B81,B81)=1,1,0)</f>
        <v>1</v>
      </c>
      <c r="F81" s="1">
        <f>IF(C81="",0,IF(COUNTIFS($A$2:A81,A81,$B$2:B81,B81,$C$2:C81,C81)=1,1,0))</f>
        <v>1</v>
      </c>
    </row>
    <row r="82" spans="1:6" x14ac:dyDescent="0.2">
      <c r="A82" t="s">
        <v>206</v>
      </c>
      <c r="B82" t="s">
        <v>1059</v>
      </c>
      <c r="C82" t="s">
        <v>1244</v>
      </c>
      <c r="D82" t="s">
        <v>1245</v>
      </c>
      <c r="E82" s="1">
        <f>IF(COUNTIFS($A$2:A82,A82,$B$2:B82,B82)=1,1,0)</f>
        <v>1</v>
      </c>
      <c r="F82" s="1">
        <f>IF(C82="",0,IF(COUNTIFS($A$2:A82,A82,$B$2:B82,B82,$C$2:C82,C82)=1,1,0))</f>
        <v>1</v>
      </c>
    </row>
    <row r="83" spans="1:6" x14ac:dyDescent="0.2">
      <c r="A83" t="s">
        <v>206</v>
      </c>
      <c r="B83" t="s">
        <v>1063</v>
      </c>
      <c r="C83" t="s">
        <v>1259</v>
      </c>
      <c r="D83" t="s">
        <v>1274</v>
      </c>
      <c r="E83" s="1">
        <f>IF(COUNTIFS($A$2:A83,A83,$B$2:B83,B83)=1,1,0)</f>
        <v>1</v>
      </c>
      <c r="F83" s="1">
        <f>IF(C83="",0,IF(COUNTIFS($A$2:A83,A83,$B$2:B83,B83,$C$2:C83,C83)=1,1,0))</f>
        <v>1</v>
      </c>
    </row>
    <row r="84" spans="1:6" x14ac:dyDescent="0.2">
      <c r="A84" t="s">
        <v>209</v>
      </c>
      <c r="B84" t="s">
        <v>1063</v>
      </c>
      <c r="C84" t="s">
        <v>1259</v>
      </c>
      <c r="E84" s="1">
        <f>IF(COUNTIFS($A$2:A84,A84,$B$2:B84,B84)=1,1,0)</f>
        <v>1</v>
      </c>
      <c r="F84" s="1">
        <f>IF(C84="",0,IF(COUNTIFS($A$2:A84,A84,$B$2:B84,B84,$C$2:C84,C84)=1,1,0))</f>
        <v>1</v>
      </c>
    </row>
    <row r="85" spans="1:6" x14ac:dyDescent="0.2">
      <c r="A85" t="s">
        <v>212</v>
      </c>
      <c r="B85" t="s">
        <v>1063</v>
      </c>
      <c r="C85" t="s">
        <v>1251</v>
      </c>
      <c r="E85" s="1">
        <f>IF(COUNTIFS($A$2:A85,A85,$B$2:B85,B85)=1,1,0)</f>
        <v>1</v>
      </c>
      <c r="F85" s="1">
        <f>IF(C85="",0,IF(COUNTIFS($A$2:A85,A85,$B$2:B85,B85,$C$2:C85,C85)=1,1,0))</f>
        <v>1</v>
      </c>
    </row>
    <row r="86" spans="1:6" x14ac:dyDescent="0.2">
      <c r="A86" t="s">
        <v>215</v>
      </c>
      <c r="B86" t="s">
        <v>1063</v>
      </c>
      <c r="C86" t="s">
        <v>1263</v>
      </c>
      <c r="D86" t="s">
        <v>1264</v>
      </c>
      <c r="E86" s="1">
        <f>IF(COUNTIFS($A$2:A86,A86,$B$2:B86,B86)=1,1,0)</f>
        <v>1</v>
      </c>
      <c r="F86" s="1">
        <f>IF(C86="",0,IF(COUNTIFS($A$2:A86,A86,$B$2:B86,B86,$C$2:C86,C86)=1,1,0))</f>
        <v>1</v>
      </c>
    </row>
    <row r="87" spans="1:6" x14ac:dyDescent="0.2">
      <c r="A87" t="s">
        <v>218</v>
      </c>
      <c r="B87" t="s">
        <v>1061</v>
      </c>
      <c r="C87" t="s">
        <v>1249</v>
      </c>
      <c r="D87" t="s">
        <v>1250</v>
      </c>
      <c r="E87" s="1">
        <f>IF(COUNTIFS($A$2:A87,A87,$B$2:B87,B87)=1,1,0)</f>
        <v>1</v>
      </c>
      <c r="F87" s="1">
        <f>IF(C87="",0,IF(COUNTIFS($A$2:A87,A87,$B$2:B87,B87,$C$2:C87,C87)=1,1,0))</f>
        <v>1</v>
      </c>
    </row>
    <row r="88" spans="1:6" x14ac:dyDescent="0.2">
      <c r="A88" t="s">
        <v>218</v>
      </c>
      <c r="B88" t="s">
        <v>1059</v>
      </c>
      <c r="C88" t="s">
        <v>1261</v>
      </c>
      <c r="D88" t="s">
        <v>1275</v>
      </c>
      <c r="E88" s="1">
        <f>IF(COUNTIFS($A$2:A88,A88,$B$2:B88,B88)=1,1,0)</f>
        <v>1</v>
      </c>
      <c r="F88" s="1">
        <f>IF(C88="",0,IF(COUNTIFS($A$2:A88,A88,$B$2:B88,B88,$C$2:C88,C88)=1,1,0))</f>
        <v>1</v>
      </c>
    </row>
    <row r="89" spans="1:6" x14ac:dyDescent="0.2">
      <c r="A89" t="s">
        <v>218</v>
      </c>
      <c r="B89" t="s">
        <v>1063</v>
      </c>
      <c r="C89" t="s">
        <v>1251</v>
      </c>
      <c r="E89" s="1">
        <f>IF(COUNTIFS($A$2:A89,A89,$B$2:B89,B89)=1,1,0)</f>
        <v>1</v>
      </c>
      <c r="F89" s="1">
        <f>IF(C89="",0,IF(COUNTIFS($A$2:A89,A89,$B$2:B89,B89,$C$2:C89,C89)=1,1,0))</f>
        <v>1</v>
      </c>
    </row>
    <row r="90" spans="1:6" x14ac:dyDescent="0.2">
      <c r="A90" t="s">
        <v>222</v>
      </c>
      <c r="B90" t="s">
        <v>1063</v>
      </c>
      <c r="C90" t="s">
        <v>1259</v>
      </c>
      <c r="E90" s="1">
        <f>IF(COUNTIFS($A$2:A90,A90,$B$2:B90,B90)=1,1,0)</f>
        <v>1</v>
      </c>
      <c r="F90" s="1">
        <f>IF(C90="",0,IF(COUNTIFS($A$2:A90,A90,$B$2:B90,B90,$C$2:C90,C90)=1,1,0))</f>
        <v>1</v>
      </c>
    </row>
    <row r="91" spans="1:6" x14ac:dyDescent="0.2">
      <c r="A91" t="s">
        <v>222</v>
      </c>
      <c r="B91" t="s">
        <v>1059</v>
      </c>
      <c r="C91" t="s">
        <v>1265</v>
      </c>
      <c r="D91" t="s">
        <v>1266</v>
      </c>
      <c r="E91" s="1">
        <f>IF(COUNTIFS($A$2:A91,A91,$B$2:B91,B91)=1,1,0)</f>
        <v>1</v>
      </c>
      <c r="F91" s="1">
        <f>IF(C91="",0,IF(COUNTIFS($A$2:A91,A91,$B$2:B91,B91,$C$2:C91,C91)=1,1,0))</f>
        <v>1</v>
      </c>
    </row>
    <row r="92" spans="1:6" x14ac:dyDescent="0.2">
      <c r="A92" t="s">
        <v>227</v>
      </c>
      <c r="B92" t="s">
        <v>1060</v>
      </c>
      <c r="E92" s="1">
        <f>IF(COUNTIFS($A$2:A92,A92,$B$2:B92,B92)=1,1,0)</f>
        <v>1</v>
      </c>
      <c r="F92" s="1">
        <f>IF(C92="",0,IF(COUNTIFS($A$2:A92,A92,$B$2:B92,B92,$C$2:C92,C92)=1,1,0))</f>
        <v>0</v>
      </c>
    </row>
    <row r="93" spans="1:6" x14ac:dyDescent="0.2">
      <c r="A93" t="s">
        <v>230</v>
      </c>
      <c r="B93" t="s">
        <v>1060</v>
      </c>
      <c r="E93" s="1">
        <f>IF(COUNTIFS($A$2:A93,A93,$B$2:B93,B93)=1,1,0)</f>
        <v>1</v>
      </c>
      <c r="F93" s="1">
        <f>IF(C93="",0,IF(COUNTIFS($A$2:A93,A93,$B$2:B93,B93,$C$2:C93,C93)=1,1,0))</f>
        <v>0</v>
      </c>
    </row>
    <row r="94" spans="1:6" x14ac:dyDescent="0.2">
      <c r="A94" t="s">
        <v>233</v>
      </c>
      <c r="B94" t="s">
        <v>1061</v>
      </c>
      <c r="C94" t="s">
        <v>1268</v>
      </c>
      <c r="E94" s="1">
        <f>IF(COUNTIFS($A$2:A94,A94,$B$2:B94,B94)=1,1,0)</f>
        <v>1</v>
      </c>
      <c r="F94" s="1">
        <f>IF(C94="",0,IF(COUNTIFS($A$2:A94,A94,$B$2:B94,B94,$C$2:C94,C94)=1,1,0))</f>
        <v>1</v>
      </c>
    </row>
    <row r="95" spans="1:6" x14ac:dyDescent="0.2">
      <c r="A95" t="s">
        <v>236</v>
      </c>
      <c r="B95" t="s">
        <v>1063</v>
      </c>
      <c r="C95" t="s">
        <v>1259</v>
      </c>
      <c r="E95" s="1">
        <f>IF(COUNTIFS($A$2:A95,A95,$B$2:B95,B95)=1,1,0)</f>
        <v>1</v>
      </c>
      <c r="F95" s="1">
        <f>IF(C95="",0,IF(COUNTIFS($A$2:A95,A95,$B$2:B95,B95,$C$2:C95,C95)=1,1,0))</f>
        <v>1</v>
      </c>
    </row>
    <row r="96" spans="1:6" x14ac:dyDescent="0.2">
      <c r="A96" t="s">
        <v>238</v>
      </c>
      <c r="B96" t="s">
        <v>1061</v>
      </c>
      <c r="C96" t="s">
        <v>1249</v>
      </c>
      <c r="D96" t="s">
        <v>1250</v>
      </c>
      <c r="E96" s="1">
        <f>IF(COUNTIFS($A$2:A96,A96,$B$2:B96,B96)=1,1,0)</f>
        <v>1</v>
      </c>
      <c r="F96" s="1">
        <f>IF(C96="",0,IF(COUNTIFS($A$2:A96,A96,$B$2:B96,B96,$C$2:C96,C96)=1,1,0))</f>
        <v>1</v>
      </c>
    </row>
    <row r="97" spans="1:6" x14ac:dyDescent="0.2">
      <c r="A97" t="s">
        <v>240</v>
      </c>
      <c r="B97" t="s">
        <v>1061</v>
      </c>
      <c r="C97" t="s">
        <v>1249</v>
      </c>
      <c r="D97" t="s">
        <v>1267</v>
      </c>
      <c r="E97" s="1">
        <f>IF(COUNTIFS($A$2:A97,A97,$B$2:B97,B97)=1,1,0)</f>
        <v>1</v>
      </c>
      <c r="F97" s="1">
        <f>IF(C97="",0,IF(COUNTIFS($A$2:A97,A97,$B$2:B97,B97,$C$2:C97,C97)=1,1,0))</f>
        <v>1</v>
      </c>
    </row>
    <row r="98" spans="1:6" x14ac:dyDescent="0.2">
      <c r="A98" t="s">
        <v>243</v>
      </c>
      <c r="B98" t="s">
        <v>1059</v>
      </c>
      <c r="C98" t="s">
        <v>1246</v>
      </c>
      <c r="D98" t="s">
        <v>1247</v>
      </c>
      <c r="E98" s="1">
        <f>IF(COUNTIFS($A$2:A98,A98,$B$2:B98,B98)=1,1,0)</f>
        <v>1</v>
      </c>
      <c r="F98" s="1">
        <f>IF(C98="",0,IF(COUNTIFS($A$2:A98,A98,$B$2:B98,B98,$C$2:C98,C98)=1,1,0))</f>
        <v>1</v>
      </c>
    </row>
    <row r="99" spans="1:6" x14ac:dyDescent="0.2">
      <c r="A99" t="s">
        <v>243</v>
      </c>
      <c r="B99" t="s">
        <v>1063</v>
      </c>
      <c r="C99" t="s">
        <v>1251</v>
      </c>
      <c r="E99" s="1">
        <f>IF(COUNTIFS($A$2:A99,A99,$B$2:B99,B99)=1,1,0)</f>
        <v>1</v>
      </c>
      <c r="F99" s="1">
        <f>IF(C99="",0,IF(COUNTIFS($A$2:A99,A99,$B$2:B99,B99,$C$2:C99,C99)=1,1,0))</f>
        <v>1</v>
      </c>
    </row>
    <row r="100" spans="1:6" x14ac:dyDescent="0.2">
      <c r="A100" t="s">
        <v>246</v>
      </c>
      <c r="B100" t="s">
        <v>1060</v>
      </c>
      <c r="E100" s="1">
        <f>IF(COUNTIFS($A$2:A100,A100,$B$2:B100,B100)=1,1,0)</f>
        <v>1</v>
      </c>
      <c r="F100" s="1">
        <f>IF(C100="",0,IF(COUNTIFS($A$2:A100,A100,$B$2:B100,B100,$C$2:C100,C100)=1,1,0))</f>
        <v>0</v>
      </c>
    </row>
    <row r="101" spans="1:6" x14ac:dyDescent="0.2">
      <c r="A101" t="s">
        <v>253</v>
      </c>
      <c r="B101" t="s">
        <v>1061</v>
      </c>
      <c r="C101" t="s">
        <v>1249</v>
      </c>
      <c r="E101" s="1">
        <f>IF(COUNTIFS($A$2:A101,A101,$B$2:B101,B101)=1,1,0)</f>
        <v>1</v>
      </c>
      <c r="F101" s="1">
        <f>IF(C101="",0,IF(COUNTIFS($A$2:A101,A101,$B$2:B101,B101,$C$2:C101,C101)=1,1,0))</f>
        <v>1</v>
      </c>
    </row>
    <row r="102" spans="1:6" x14ac:dyDescent="0.2">
      <c r="A102" t="s">
        <v>256</v>
      </c>
      <c r="B102" t="s">
        <v>1061</v>
      </c>
      <c r="C102" t="s">
        <v>1249</v>
      </c>
      <c r="D102" t="s">
        <v>1250</v>
      </c>
      <c r="E102" s="1">
        <f>IF(COUNTIFS($A$2:A102,A102,$B$2:B102,B102)=1,1,0)</f>
        <v>1</v>
      </c>
      <c r="F102" s="1">
        <f>IF(C102="",0,IF(COUNTIFS($A$2:A102,A102,$B$2:B102,B102,$C$2:C102,C102)=1,1,0))</f>
        <v>1</v>
      </c>
    </row>
    <row r="103" spans="1:6" x14ac:dyDescent="0.2">
      <c r="A103" t="s">
        <v>256</v>
      </c>
      <c r="B103" t="s">
        <v>1059</v>
      </c>
      <c r="C103" t="s">
        <v>1265</v>
      </c>
      <c r="D103" t="s">
        <v>1266</v>
      </c>
      <c r="E103" s="1">
        <f>IF(COUNTIFS($A$2:A103,A103,$B$2:B103,B103)=1,1,0)</f>
        <v>1</v>
      </c>
      <c r="F103" s="1">
        <f>IF(C103="",0,IF(COUNTIFS($A$2:A103,A103,$B$2:B103,B103,$C$2:C103,C103)=1,1,0))</f>
        <v>1</v>
      </c>
    </row>
    <row r="104" spans="1:6" x14ac:dyDescent="0.2">
      <c r="A104" t="s">
        <v>260</v>
      </c>
      <c r="B104" t="s">
        <v>1059</v>
      </c>
      <c r="C104" t="s">
        <v>1255</v>
      </c>
      <c r="D104" t="s">
        <v>1256</v>
      </c>
      <c r="E104" s="1">
        <f>IF(COUNTIFS($A$2:A104,A104,$B$2:B104,B104)=1,1,0)</f>
        <v>1</v>
      </c>
      <c r="F104" s="1">
        <f>IF(C104="",0,IF(COUNTIFS($A$2:A104,A104,$B$2:B104,B104,$C$2:C104,C104)=1,1,0))</f>
        <v>1</v>
      </c>
    </row>
    <row r="105" spans="1:6" x14ac:dyDescent="0.2">
      <c r="A105" t="s">
        <v>263</v>
      </c>
      <c r="B105" t="s">
        <v>1059</v>
      </c>
      <c r="C105" t="s">
        <v>1255</v>
      </c>
      <c r="D105" t="s">
        <v>1270</v>
      </c>
      <c r="E105" s="1">
        <f>IF(COUNTIFS($A$2:A105,A105,$B$2:B105,B105)=1,1,0)</f>
        <v>1</v>
      </c>
      <c r="F105" s="1">
        <f>IF(C105="",0,IF(COUNTIFS($A$2:A105,A105,$B$2:B105,B105,$C$2:C105,C105)=1,1,0))</f>
        <v>1</v>
      </c>
    </row>
    <row r="106" spans="1:6" x14ac:dyDescent="0.2">
      <c r="A106" t="s">
        <v>267</v>
      </c>
      <c r="B106" t="s">
        <v>1063</v>
      </c>
      <c r="C106" t="s">
        <v>1251</v>
      </c>
      <c r="D106" t="s">
        <v>1276</v>
      </c>
      <c r="E106" s="1">
        <f>IF(COUNTIFS($A$2:A106,A106,$B$2:B106,B106)=1,1,0)</f>
        <v>1</v>
      </c>
      <c r="F106" s="1">
        <f>IF(C106="",0,IF(COUNTIFS($A$2:A106,A106,$B$2:B106,B106,$C$2:C106,C106)=1,1,0))</f>
        <v>1</v>
      </c>
    </row>
    <row r="107" spans="1:6" x14ac:dyDescent="0.2">
      <c r="A107" t="s">
        <v>267</v>
      </c>
      <c r="B107" t="s">
        <v>1063</v>
      </c>
      <c r="C107" t="s">
        <v>1263</v>
      </c>
      <c r="D107" t="s">
        <v>1264</v>
      </c>
      <c r="E107" s="1">
        <f>IF(COUNTIFS($A$2:A107,A107,$B$2:B107,B107)=1,1,0)</f>
        <v>0</v>
      </c>
      <c r="F107" s="1">
        <f>IF(C107="",0,IF(COUNTIFS($A$2:A107,A107,$B$2:B107,B107,$C$2:C107,C107)=1,1,0))</f>
        <v>1</v>
      </c>
    </row>
    <row r="108" spans="1:6" x14ac:dyDescent="0.2">
      <c r="A108" t="s">
        <v>270</v>
      </c>
      <c r="B108" t="s">
        <v>1061</v>
      </c>
      <c r="C108" t="s">
        <v>1249</v>
      </c>
      <c r="D108" t="s">
        <v>1267</v>
      </c>
      <c r="E108" s="1">
        <f>IF(COUNTIFS($A$2:A108,A108,$B$2:B108,B108)=1,1,0)</f>
        <v>1</v>
      </c>
      <c r="F108" s="1">
        <f>IF(C108="",0,IF(COUNTIFS($A$2:A108,A108,$B$2:B108,B108,$C$2:C108,C108)=1,1,0))</f>
        <v>1</v>
      </c>
    </row>
    <row r="109" spans="1:6" x14ac:dyDescent="0.2">
      <c r="A109" t="s">
        <v>272</v>
      </c>
      <c r="B109" t="s">
        <v>1061</v>
      </c>
      <c r="C109" t="s">
        <v>1249</v>
      </c>
      <c r="E109" s="1">
        <f>IF(COUNTIFS($A$2:A109,A109,$B$2:B109,B109)=1,1,0)</f>
        <v>1</v>
      </c>
      <c r="F109" s="1">
        <f>IF(C109="",0,IF(COUNTIFS($A$2:A109,A109,$B$2:B109,B109,$C$2:C109,C109)=1,1,0))</f>
        <v>1</v>
      </c>
    </row>
    <row r="110" spans="1:6" x14ac:dyDescent="0.2">
      <c r="A110" t="s">
        <v>272</v>
      </c>
      <c r="B110" t="s">
        <v>1063</v>
      </c>
      <c r="C110" t="s">
        <v>1259</v>
      </c>
      <c r="E110" s="1">
        <f>IF(COUNTIFS($A$2:A110,A110,$B$2:B110,B110)=1,1,0)</f>
        <v>1</v>
      </c>
      <c r="F110" s="1">
        <f>IF(C110="",0,IF(COUNTIFS($A$2:A110,A110,$B$2:B110,B110,$C$2:C110,C110)=1,1,0))</f>
        <v>1</v>
      </c>
    </row>
    <row r="111" spans="1:6" x14ac:dyDescent="0.2">
      <c r="A111" t="s">
        <v>275</v>
      </c>
      <c r="B111" t="s">
        <v>1061</v>
      </c>
      <c r="C111" t="s">
        <v>1249</v>
      </c>
      <c r="D111" t="s">
        <v>1278</v>
      </c>
      <c r="E111" s="1">
        <f>IF(COUNTIFS($A$2:A111,A111,$B$2:B111,B111)=1,1,0)</f>
        <v>1</v>
      </c>
      <c r="F111" s="1">
        <f>IF(C111="",0,IF(COUNTIFS($A$2:A111,A111,$B$2:B111,B111,$C$2:C111,C111)=1,1,0))</f>
        <v>1</v>
      </c>
    </row>
    <row r="112" spans="1:6" x14ac:dyDescent="0.2">
      <c r="A112" t="s">
        <v>278</v>
      </c>
      <c r="B112" t="s">
        <v>1059</v>
      </c>
      <c r="C112" t="s">
        <v>1265</v>
      </c>
      <c r="D112" t="s">
        <v>1266</v>
      </c>
      <c r="E112" s="1">
        <f>IF(COUNTIFS($A$2:A112,A112,$B$2:B112,B112)=1,1,0)</f>
        <v>1</v>
      </c>
      <c r="F112" s="1">
        <f>IF(C112="",0,IF(COUNTIFS($A$2:A112,A112,$B$2:B112,B112,$C$2:C112,C112)=1,1,0))</f>
        <v>1</v>
      </c>
    </row>
    <row r="113" spans="1:6" x14ac:dyDescent="0.2">
      <c r="A113" t="s">
        <v>282</v>
      </c>
      <c r="B113" t="s">
        <v>1061</v>
      </c>
      <c r="C113" t="s">
        <v>1248</v>
      </c>
      <c r="E113" s="1">
        <f>IF(COUNTIFS($A$2:A113,A113,$B$2:B113,B113)=1,1,0)</f>
        <v>1</v>
      </c>
      <c r="F113" s="1">
        <f>IF(C113="",0,IF(COUNTIFS($A$2:A113,A113,$B$2:B113,B113,$C$2:C113,C113)=1,1,0))</f>
        <v>1</v>
      </c>
    </row>
    <row r="114" spans="1:6" x14ac:dyDescent="0.2">
      <c r="A114" t="s">
        <v>282</v>
      </c>
      <c r="B114" t="s">
        <v>1061</v>
      </c>
      <c r="C114" t="s">
        <v>1249</v>
      </c>
      <c r="E114" s="1">
        <f>IF(COUNTIFS($A$2:A114,A114,$B$2:B114,B114)=1,1,0)</f>
        <v>0</v>
      </c>
      <c r="F114" s="1">
        <f>IF(C114="",0,IF(COUNTIFS($A$2:A114,A114,$B$2:B114,B114,$C$2:C114,C114)=1,1,0))</f>
        <v>1</v>
      </c>
    </row>
    <row r="115" spans="1:6" x14ac:dyDescent="0.2">
      <c r="A115" t="s">
        <v>285</v>
      </c>
      <c r="B115" t="s">
        <v>1060</v>
      </c>
      <c r="E115" s="1">
        <f>IF(COUNTIFS($A$2:A115,A115,$B$2:B115,B115)=1,1,0)</f>
        <v>1</v>
      </c>
      <c r="F115" s="1">
        <f>IF(C115="",0,IF(COUNTIFS($A$2:A115,A115,$B$2:B115,B115,$C$2:C115,C115)=1,1,0))</f>
        <v>0</v>
      </c>
    </row>
    <row r="116" spans="1:6" x14ac:dyDescent="0.2">
      <c r="A116" t="s">
        <v>285</v>
      </c>
      <c r="B116" t="s">
        <v>1061</v>
      </c>
      <c r="C116" t="s">
        <v>1248</v>
      </c>
      <c r="E116" s="1">
        <f>IF(COUNTIFS($A$2:A116,A116,$B$2:B116,B116)=1,1,0)</f>
        <v>1</v>
      </c>
      <c r="F116" s="1">
        <f>IF(C116="",0,IF(COUNTIFS($A$2:A116,A116,$B$2:B116,B116,$C$2:C116,C116)=1,1,0))</f>
        <v>1</v>
      </c>
    </row>
    <row r="117" spans="1:6" x14ac:dyDescent="0.2">
      <c r="A117" t="s">
        <v>288</v>
      </c>
      <c r="B117" t="s">
        <v>1061</v>
      </c>
      <c r="C117" t="s">
        <v>1268</v>
      </c>
      <c r="D117" t="s">
        <v>1269</v>
      </c>
      <c r="E117" s="1">
        <f>IF(COUNTIFS($A$2:A117,A117,$B$2:B117,B117)=1,1,0)</f>
        <v>1</v>
      </c>
      <c r="F117" s="1">
        <f>IF(C117="",0,IF(COUNTIFS($A$2:A117,A117,$B$2:B117,B117,$C$2:C117,C117)=1,1,0))</f>
        <v>1</v>
      </c>
    </row>
    <row r="118" spans="1:6" x14ac:dyDescent="0.2">
      <c r="A118" t="s">
        <v>288</v>
      </c>
      <c r="B118" t="s">
        <v>1059</v>
      </c>
      <c r="C118" t="s">
        <v>1246</v>
      </c>
      <c r="D118" t="s">
        <v>1247</v>
      </c>
      <c r="E118" s="1">
        <f>IF(COUNTIFS($A$2:A118,A118,$B$2:B118,B118)=1,1,0)</f>
        <v>1</v>
      </c>
      <c r="F118" s="1">
        <f>IF(C118="",0,IF(COUNTIFS($A$2:A118,A118,$B$2:B118,B118,$C$2:C118,C118)=1,1,0))</f>
        <v>1</v>
      </c>
    </row>
    <row r="119" spans="1:6" x14ac:dyDescent="0.2">
      <c r="A119" t="s">
        <v>291</v>
      </c>
      <c r="B119" t="s">
        <v>1063</v>
      </c>
      <c r="C119" t="s">
        <v>1251</v>
      </c>
      <c r="D119" t="s">
        <v>1276</v>
      </c>
      <c r="E119" s="1">
        <f>IF(COUNTIFS($A$2:A119,A119,$B$2:B119,B119)=1,1,0)</f>
        <v>1</v>
      </c>
      <c r="F119" s="1">
        <f>IF(C119="",0,IF(COUNTIFS($A$2:A119,A119,$B$2:B119,B119,$C$2:C119,C119)=1,1,0))</f>
        <v>1</v>
      </c>
    </row>
    <row r="120" spans="1:6" x14ac:dyDescent="0.2">
      <c r="A120" t="s">
        <v>291</v>
      </c>
      <c r="B120" t="s">
        <v>1063</v>
      </c>
      <c r="C120" t="s">
        <v>1263</v>
      </c>
      <c r="D120" t="s">
        <v>1264</v>
      </c>
      <c r="E120" s="1">
        <f>IF(COUNTIFS($A$2:A120,A120,$B$2:B120,B120)=1,1,0)</f>
        <v>0</v>
      </c>
      <c r="F120" s="1">
        <f>IF(C120="",0,IF(COUNTIFS($A$2:A120,A120,$B$2:B120,B120,$C$2:C120,C120)=1,1,0))</f>
        <v>1</v>
      </c>
    </row>
    <row r="121" spans="1:6" x14ac:dyDescent="0.2">
      <c r="A121" t="s">
        <v>294</v>
      </c>
      <c r="B121" t="s">
        <v>1061</v>
      </c>
      <c r="C121" t="s">
        <v>1249</v>
      </c>
      <c r="E121" s="1">
        <f>IF(COUNTIFS($A$2:A121,A121,$B$2:B121,B121)=1,1,0)</f>
        <v>1</v>
      </c>
      <c r="F121" s="1">
        <f>IF(C121="",0,IF(COUNTIFS($A$2:A121,A121,$B$2:B121,B121,$C$2:C121,C121)=1,1,0))</f>
        <v>1</v>
      </c>
    </row>
    <row r="122" spans="1:6" x14ac:dyDescent="0.2">
      <c r="A122" t="s">
        <v>294</v>
      </c>
      <c r="B122" t="s">
        <v>1063</v>
      </c>
      <c r="C122" t="s">
        <v>1259</v>
      </c>
      <c r="D122" t="s">
        <v>1274</v>
      </c>
      <c r="E122" s="1">
        <f>IF(COUNTIFS($A$2:A122,A122,$B$2:B122,B122)=1,1,0)</f>
        <v>1</v>
      </c>
      <c r="F122" s="1">
        <f>IF(C122="",0,IF(COUNTIFS($A$2:A122,A122,$B$2:B122,B122,$C$2:C122,C122)=1,1,0))</f>
        <v>1</v>
      </c>
    </row>
    <row r="123" spans="1:6" x14ac:dyDescent="0.2">
      <c r="A123" t="s">
        <v>297</v>
      </c>
      <c r="B123" t="s">
        <v>1061</v>
      </c>
      <c r="C123" t="s">
        <v>1249</v>
      </c>
      <c r="E123" s="1">
        <f>IF(COUNTIFS($A$2:A123,A123,$B$2:B123,B123)=1,1,0)</f>
        <v>1</v>
      </c>
      <c r="F123" s="1">
        <f>IF(C123="",0,IF(COUNTIFS($A$2:A123,A123,$B$2:B123,B123,$C$2:C123,C123)=1,1,0))</f>
        <v>1</v>
      </c>
    </row>
    <row r="124" spans="1:6" x14ac:dyDescent="0.2">
      <c r="A124" t="s">
        <v>300</v>
      </c>
      <c r="B124" t="s">
        <v>1060</v>
      </c>
      <c r="E124" s="1">
        <f>IF(COUNTIFS($A$2:A124,A124,$B$2:B124,B124)=1,1,0)</f>
        <v>1</v>
      </c>
      <c r="F124" s="1">
        <f>IF(C124="",0,IF(COUNTIFS($A$2:A124,A124,$B$2:B124,B124,$C$2:C124,C124)=1,1,0))</f>
        <v>0</v>
      </c>
    </row>
    <row r="125" spans="1:6" x14ac:dyDescent="0.2">
      <c r="A125" t="s">
        <v>304</v>
      </c>
      <c r="B125" t="s">
        <v>1061</v>
      </c>
      <c r="C125" t="s">
        <v>1249</v>
      </c>
      <c r="D125" t="s">
        <v>1278</v>
      </c>
      <c r="E125" s="1">
        <f>IF(COUNTIFS($A$2:A125,A125,$B$2:B125,B125)=1,1,0)</f>
        <v>1</v>
      </c>
      <c r="F125" s="1">
        <f>IF(C125="",0,IF(COUNTIFS($A$2:A125,A125,$B$2:B125,B125,$C$2:C125,C125)=1,1,0))</f>
        <v>1</v>
      </c>
    </row>
    <row r="126" spans="1:6" x14ac:dyDescent="0.2">
      <c r="A126" t="s">
        <v>307</v>
      </c>
      <c r="B126" t="s">
        <v>1061</v>
      </c>
      <c r="C126" t="s">
        <v>1249</v>
      </c>
      <c r="D126" t="s">
        <v>1250</v>
      </c>
      <c r="E126" s="1">
        <f>IF(COUNTIFS($A$2:A126,A126,$B$2:B126,B126)=1,1,0)</f>
        <v>1</v>
      </c>
      <c r="F126" s="1">
        <f>IF(C126="",0,IF(COUNTIFS($A$2:A126,A126,$B$2:B126,B126,$C$2:C126,C126)=1,1,0))</f>
        <v>1</v>
      </c>
    </row>
    <row r="127" spans="1:6" x14ac:dyDescent="0.2">
      <c r="A127" t="s">
        <v>310</v>
      </c>
      <c r="B127" t="s">
        <v>1063</v>
      </c>
      <c r="C127" t="s">
        <v>1251</v>
      </c>
      <c r="D127" t="s">
        <v>1258</v>
      </c>
      <c r="E127" s="1">
        <f>IF(COUNTIFS($A$2:A127,A127,$B$2:B127,B127)=1,1,0)</f>
        <v>1</v>
      </c>
      <c r="F127" s="1">
        <f>IF(C127="",0,IF(COUNTIFS($A$2:A127,A127,$B$2:B127,B127,$C$2:C127,C127)=1,1,0))</f>
        <v>1</v>
      </c>
    </row>
    <row r="128" spans="1:6" x14ac:dyDescent="0.2">
      <c r="A128" t="s">
        <v>314</v>
      </c>
      <c r="B128" t="s">
        <v>1063</v>
      </c>
      <c r="C128" t="s">
        <v>1251</v>
      </c>
      <c r="D128" t="s">
        <v>1258</v>
      </c>
      <c r="E128" s="1">
        <f>IF(COUNTIFS($A$2:A128,A128,$B$2:B128,B128)=1,1,0)</f>
        <v>1</v>
      </c>
      <c r="F128" s="1">
        <f>IF(C128="",0,IF(COUNTIFS($A$2:A128,A128,$B$2:B128,B128,$C$2:C128,C128)=1,1,0))</f>
        <v>1</v>
      </c>
    </row>
    <row r="129" spans="1:6" x14ac:dyDescent="0.2">
      <c r="A129" t="s">
        <v>314</v>
      </c>
      <c r="B129" t="s">
        <v>1063</v>
      </c>
      <c r="C129" t="s">
        <v>1259</v>
      </c>
      <c r="E129" s="1">
        <f>IF(COUNTIFS($A$2:A129,A129,$B$2:B129,B129)=1,1,0)</f>
        <v>0</v>
      </c>
      <c r="F129" s="1">
        <f>IF(C129="",0,IF(COUNTIFS($A$2:A129,A129,$B$2:B129,B129,$C$2:C129,C129)=1,1,0))</f>
        <v>1</v>
      </c>
    </row>
    <row r="130" spans="1:6" x14ac:dyDescent="0.2">
      <c r="A130" t="s">
        <v>317</v>
      </c>
      <c r="B130" t="s">
        <v>1060</v>
      </c>
      <c r="E130" s="1">
        <f>IF(COUNTIFS($A$2:A130,A130,$B$2:B130,B130)=1,1,0)</f>
        <v>1</v>
      </c>
      <c r="F130" s="1">
        <f>IF(C130="",0,IF(COUNTIFS($A$2:A130,A130,$B$2:B130,B130,$C$2:C130,C130)=1,1,0))</f>
        <v>0</v>
      </c>
    </row>
    <row r="131" spans="1:6" x14ac:dyDescent="0.2">
      <c r="A131" t="s">
        <v>317</v>
      </c>
      <c r="B131" t="s">
        <v>1063</v>
      </c>
      <c r="C131" t="s">
        <v>1263</v>
      </c>
      <c r="D131" t="s">
        <v>1264</v>
      </c>
      <c r="E131" s="1">
        <f>IF(COUNTIFS($A$2:A131,A131,$B$2:B131,B131)=1,1,0)</f>
        <v>1</v>
      </c>
      <c r="F131" s="1">
        <f>IF(C131="",0,IF(COUNTIFS($A$2:A131,A131,$B$2:B131,B131,$C$2:C131,C131)=1,1,0))</f>
        <v>1</v>
      </c>
    </row>
    <row r="132" spans="1:6" x14ac:dyDescent="0.2">
      <c r="A132" t="s">
        <v>322</v>
      </c>
      <c r="B132" t="s">
        <v>1061</v>
      </c>
      <c r="C132" t="s">
        <v>1249</v>
      </c>
      <c r="D132" t="s">
        <v>1250</v>
      </c>
      <c r="E132" s="1">
        <f>IF(COUNTIFS($A$2:A132,A132,$B$2:B132,B132)=1,1,0)</f>
        <v>1</v>
      </c>
      <c r="F132" s="1">
        <f>IF(C132="",0,IF(COUNTIFS($A$2:A132,A132,$B$2:B132,B132,$C$2:C132,C132)=1,1,0))</f>
        <v>1</v>
      </c>
    </row>
    <row r="133" spans="1:6" x14ac:dyDescent="0.2">
      <c r="A133" t="s">
        <v>322</v>
      </c>
      <c r="B133" t="s">
        <v>1063</v>
      </c>
      <c r="C133" t="s">
        <v>1259</v>
      </c>
      <c r="E133" s="1">
        <f>IF(COUNTIFS($A$2:A133,A133,$B$2:B133,B133)=1,1,0)</f>
        <v>1</v>
      </c>
      <c r="F133" s="1">
        <f>IF(C133="",0,IF(COUNTIFS($A$2:A133,A133,$B$2:B133,B133,$C$2:C133,C133)=1,1,0))</f>
        <v>1</v>
      </c>
    </row>
    <row r="134" spans="1:6" x14ac:dyDescent="0.2">
      <c r="A134" t="s">
        <v>325</v>
      </c>
      <c r="B134" t="s">
        <v>1063</v>
      </c>
      <c r="C134" t="s">
        <v>1259</v>
      </c>
      <c r="E134" s="1">
        <f>IF(COUNTIFS($A$2:A134,A134,$B$2:B134,B134)=1,1,0)</f>
        <v>1</v>
      </c>
      <c r="F134" s="1">
        <f>IF(C134="",0,IF(COUNTIFS($A$2:A134,A134,$B$2:B134,B134,$C$2:C134,C134)=1,1,0))</f>
        <v>1</v>
      </c>
    </row>
    <row r="135" spans="1:6" x14ac:dyDescent="0.2">
      <c r="A135" t="s">
        <v>325</v>
      </c>
      <c r="B135" t="s">
        <v>1063</v>
      </c>
      <c r="C135" t="s">
        <v>1251</v>
      </c>
      <c r="E135" s="1">
        <f>IF(COUNTIFS($A$2:A135,A135,$B$2:B135,B135)=1,1,0)</f>
        <v>0</v>
      </c>
      <c r="F135" s="1">
        <f>IF(C135="",0,IF(COUNTIFS($A$2:A135,A135,$B$2:B135,B135,$C$2:C135,C135)=1,1,0))</f>
        <v>1</v>
      </c>
    </row>
    <row r="136" spans="1:6" x14ac:dyDescent="0.2">
      <c r="A136" t="s">
        <v>328</v>
      </c>
      <c r="B136" t="s">
        <v>1061</v>
      </c>
      <c r="C136" t="s">
        <v>1249</v>
      </c>
      <c r="D136" t="s">
        <v>1257</v>
      </c>
      <c r="E136" s="1">
        <f>IF(COUNTIFS($A$2:A136,A136,$B$2:B136,B136)=1,1,0)</f>
        <v>1</v>
      </c>
      <c r="F136" s="1">
        <f>IF(C136="",0,IF(COUNTIFS($A$2:A136,A136,$B$2:B136,B136,$C$2:C136,C136)=1,1,0))</f>
        <v>1</v>
      </c>
    </row>
    <row r="137" spans="1:6" x14ac:dyDescent="0.2">
      <c r="A137" t="s">
        <v>328</v>
      </c>
      <c r="B137" t="s">
        <v>1059</v>
      </c>
      <c r="C137" t="s">
        <v>1253</v>
      </c>
      <c r="D137" t="s">
        <v>1254</v>
      </c>
      <c r="E137" s="1">
        <f>IF(COUNTIFS($A$2:A137,A137,$B$2:B137,B137)=1,1,0)</f>
        <v>1</v>
      </c>
      <c r="F137" s="1">
        <f>IF(C137="",0,IF(COUNTIFS($A$2:A137,A137,$B$2:B137,B137,$C$2:C137,C137)=1,1,0))</f>
        <v>1</v>
      </c>
    </row>
    <row r="138" spans="1:6" x14ac:dyDescent="0.2">
      <c r="A138" t="s">
        <v>332</v>
      </c>
      <c r="B138" t="s">
        <v>1061</v>
      </c>
      <c r="C138" t="s">
        <v>1249</v>
      </c>
      <c r="D138" t="s">
        <v>1278</v>
      </c>
      <c r="E138" s="1">
        <f>IF(COUNTIFS($A$2:A138,A138,$B$2:B138,B138)=1,1,0)</f>
        <v>1</v>
      </c>
      <c r="F138" s="1">
        <f>IF(C138="",0,IF(COUNTIFS($A$2:A138,A138,$B$2:B138,B138,$C$2:C138,C138)=1,1,0))</f>
        <v>1</v>
      </c>
    </row>
    <row r="139" spans="1:6" x14ac:dyDescent="0.2">
      <c r="A139" t="s">
        <v>335</v>
      </c>
      <c r="B139" t="s">
        <v>1061</v>
      </c>
      <c r="C139" t="s">
        <v>1249</v>
      </c>
      <c r="E139" s="1">
        <f>IF(COUNTIFS($A$2:A139,A139,$B$2:B139,B139)=1,1,0)</f>
        <v>1</v>
      </c>
      <c r="F139" s="1">
        <f>IF(C139="",0,IF(COUNTIFS($A$2:A139,A139,$B$2:B139,B139,$C$2:C139,C139)=1,1,0))</f>
        <v>1</v>
      </c>
    </row>
    <row r="140" spans="1:6" x14ac:dyDescent="0.2">
      <c r="A140" t="s">
        <v>337</v>
      </c>
      <c r="B140" t="s">
        <v>1059</v>
      </c>
      <c r="C140" t="s">
        <v>1255</v>
      </c>
      <c r="D140" t="s">
        <v>1256</v>
      </c>
      <c r="E140" s="1">
        <f>IF(COUNTIFS($A$2:A140,A140,$B$2:B140,B140)=1,1,0)</f>
        <v>1</v>
      </c>
      <c r="F140" s="1">
        <f>IF(C140="",0,IF(COUNTIFS($A$2:A140,A140,$B$2:B140,B140,$C$2:C140,C140)=1,1,0))</f>
        <v>1</v>
      </c>
    </row>
    <row r="141" spans="1:6" x14ac:dyDescent="0.2">
      <c r="A141" t="s">
        <v>337</v>
      </c>
      <c r="B141" t="s">
        <v>1059</v>
      </c>
      <c r="C141" t="s">
        <v>1244</v>
      </c>
      <c r="D141" t="s">
        <v>1245</v>
      </c>
      <c r="E141" s="1">
        <f>IF(COUNTIFS($A$2:A141,A141,$B$2:B141,B141)=1,1,0)</f>
        <v>0</v>
      </c>
      <c r="F141" s="1">
        <f>IF(C141="",0,IF(COUNTIFS($A$2:A141,A141,$B$2:B141,B141,$C$2:C141,C141)=1,1,0))</f>
        <v>1</v>
      </c>
    </row>
    <row r="142" spans="1:6" x14ac:dyDescent="0.2">
      <c r="A142" t="s">
        <v>341</v>
      </c>
      <c r="B142" t="s">
        <v>1061</v>
      </c>
      <c r="C142" t="s">
        <v>1249</v>
      </c>
      <c r="D142" t="s">
        <v>1250</v>
      </c>
      <c r="E142" s="1">
        <f>IF(COUNTIFS($A$2:A142,A142,$B$2:B142,B142)=1,1,0)</f>
        <v>1</v>
      </c>
      <c r="F142" s="1">
        <f>IF(C142="",0,IF(COUNTIFS($A$2:A142,A142,$B$2:B142,B142,$C$2:C142,C142)=1,1,0))</f>
        <v>1</v>
      </c>
    </row>
    <row r="143" spans="1:6" x14ac:dyDescent="0.2">
      <c r="A143" t="s">
        <v>344</v>
      </c>
      <c r="B143" t="s">
        <v>1060</v>
      </c>
      <c r="E143" s="1">
        <f>IF(COUNTIFS($A$2:A143,A143,$B$2:B143,B143)=1,1,0)</f>
        <v>1</v>
      </c>
      <c r="F143" s="1">
        <f>IF(C143="",0,IF(COUNTIFS($A$2:A143,A143,$B$2:B143,B143,$C$2:C143,C143)=1,1,0))</f>
        <v>0</v>
      </c>
    </row>
    <row r="144" spans="1:6" x14ac:dyDescent="0.2">
      <c r="A144" t="s">
        <v>347</v>
      </c>
      <c r="B144" t="s">
        <v>1059</v>
      </c>
      <c r="C144" t="s">
        <v>1255</v>
      </c>
      <c r="D144" t="s">
        <v>1270</v>
      </c>
      <c r="E144" s="1">
        <f>IF(COUNTIFS($A$2:A144,A144,$B$2:B144,B144)=1,1,0)</f>
        <v>1</v>
      </c>
      <c r="F144" s="1">
        <f>IF(C144="",0,IF(COUNTIFS($A$2:A144,A144,$B$2:B144,B144,$C$2:C144,C144)=1,1,0))</f>
        <v>1</v>
      </c>
    </row>
    <row r="145" spans="1:6" x14ac:dyDescent="0.2">
      <c r="A145" t="s">
        <v>350</v>
      </c>
      <c r="B145" t="s">
        <v>1061</v>
      </c>
      <c r="C145" t="s">
        <v>1249</v>
      </c>
      <c r="D145" t="s">
        <v>1267</v>
      </c>
      <c r="E145" s="1">
        <f>IF(COUNTIFS($A$2:A145,A145,$B$2:B145,B145)=1,1,0)</f>
        <v>1</v>
      </c>
      <c r="F145" s="1">
        <f>IF(C145="",0,IF(COUNTIFS($A$2:A145,A145,$B$2:B145,B145,$C$2:C145,C145)=1,1,0))</f>
        <v>1</v>
      </c>
    </row>
    <row r="146" spans="1:6" x14ac:dyDescent="0.2">
      <c r="A146" t="s">
        <v>350</v>
      </c>
      <c r="B146" t="s">
        <v>1061</v>
      </c>
      <c r="C146" t="s">
        <v>1249</v>
      </c>
      <c r="E146" s="1">
        <f>IF(COUNTIFS($A$2:A146,A146,$B$2:B146,B146)=1,1,0)</f>
        <v>0</v>
      </c>
      <c r="F146" s="1">
        <f>IF(C146="",0,IF(COUNTIFS($A$2:A146,A146,$B$2:B146,B146,$C$2:C146,C146)=1,1,0))</f>
        <v>0</v>
      </c>
    </row>
    <row r="147" spans="1:6" x14ac:dyDescent="0.2">
      <c r="A147" t="s">
        <v>353</v>
      </c>
      <c r="B147" t="s">
        <v>1059</v>
      </c>
      <c r="C147" t="s">
        <v>1261</v>
      </c>
      <c r="D147" t="s">
        <v>1262</v>
      </c>
      <c r="E147" s="1">
        <f>IF(COUNTIFS($A$2:A147,A147,$B$2:B147,B147)=1,1,0)</f>
        <v>1</v>
      </c>
      <c r="F147" s="1">
        <f>IF(C147="",0,IF(COUNTIFS($A$2:A147,A147,$B$2:B147,B147,$C$2:C147,C147)=1,1,0))</f>
        <v>1</v>
      </c>
    </row>
    <row r="148" spans="1:6" x14ac:dyDescent="0.2">
      <c r="A148" t="s">
        <v>356</v>
      </c>
      <c r="B148" t="s">
        <v>1063</v>
      </c>
      <c r="C148" t="s">
        <v>1263</v>
      </c>
      <c r="D148" t="s">
        <v>1264</v>
      </c>
      <c r="E148" s="1">
        <f>IF(COUNTIFS($A$2:A148,A148,$B$2:B148,B148)=1,1,0)</f>
        <v>1</v>
      </c>
      <c r="F148" s="1">
        <f>IF(C148="",0,IF(COUNTIFS($A$2:A148,A148,$B$2:B148,B148,$C$2:C148,C148)=1,1,0))</f>
        <v>1</v>
      </c>
    </row>
    <row r="149" spans="1:6" x14ac:dyDescent="0.2">
      <c r="A149" t="s">
        <v>358</v>
      </c>
      <c r="B149" t="s">
        <v>1061</v>
      </c>
      <c r="C149" t="s">
        <v>1249</v>
      </c>
      <c r="D149" t="s">
        <v>1250</v>
      </c>
      <c r="E149" s="1">
        <f>IF(COUNTIFS($A$2:A149,A149,$B$2:B149,B149)=1,1,0)</f>
        <v>1</v>
      </c>
      <c r="F149" s="1">
        <f>IF(C149="",0,IF(COUNTIFS($A$2:A149,A149,$B$2:B149,B149,$C$2:C149,C149)=1,1,0))</f>
        <v>1</v>
      </c>
    </row>
    <row r="150" spans="1:6" x14ac:dyDescent="0.2">
      <c r="A150" t="s">
        <v>358</v>
      </c>
      <c r="B150" t="s">
        <v>1061</v>
      </c>
      <c r="C150" t="s">
        <v>1249</v>
      </c>
      <c r="E150" s="1">
        <f>IF(COUNTIFS($A$2:A150,A150,$B$2:B150,B150)=1,1,0)</f>
        <v>0</v>
      </c>
      <c r="F150" s="1">
        <f>IF(C150="",0,IF(COUNTIFS($A$2:A150,A150,$B$2:B150,B150,$C$2:C150,C150)=1,1,0))</f>
        <v>0</v>
      </c>
    </row>
    <row r="151" spans="1:6" x14ac:dyDescent="0.2">
      <c r="A151" t="s">
        <v>361</v>
      </c>
      <c r="B151" t="s">
        <v>1059</v>
      </c>
      <c r="C151" t="s">
        <v>1265</v>
      </c>
      <c r="D151" t="s">
        <v>1266</v>
      </c>
      <c r="E151" s="1">
        <f>IF(COUNTIFS($A$2:A151,A151,$B$2:B151,B151)=1,1,0)</f>
        <v>1</v>
      </c>
      <c r="F151" s="1">
        <f>IF(C151="",0,IF(COUNTIFS($A$2:A151,A151,$B$2:B151,B151,$C$2:C151,C151)=1,1,0))</f>
        <v>1</v>
      </c>
    </row>
    <row r="152" spans="1:6" x14ac:dyDescent="0.2">
      <c r="A152" t="s">
        <v>365</v>
      </c>
      <c r="B152" t="s">
        <v>1061</v>
      </c>
      <c r="C152" t="s">
        <v>1249</v>
      </c>
      <c r="D152" t="s">
        <v>1250</v>
      </c>
      <c r="E152" s="1">
        <f>IF(COUNTIFS($A$2:A152,A152,$B$2:B152,B152)=1,1,0)</f>
        <v>1</v>
      </c>
      <c r="F152" s="1">
        <f>IF(C152="",0,IF(COUNTIFS($A$2:A152,A152,$B$2:B152,B152,$C$2:C152,C152)=1,1,0))</f>
        <v>1</v>
      </c>
    </row>
    <row r="153" spans="1:6" x14ac:dyDescent="0.2">
      <c r="A153" t="s">
        <v>365</v>
      </c>
      <c r="B153" t="s">
        <v>1061</v>
      </c>
      <c r="C153" t="s">
        <v>1248</v>
      </c>
      <c r="E153" s="1">
        <f>IF(COUNTIFS($A$2:A153,A153,$B$2:B153,B153)=1,1,0)</f>
        <v>0</v>
      </c>
      <c r="F153" s="1">
        <f>IF(C153="",0,IF(COUNTIFS($A$2:A153,A153,$B$2:B153,B153,$C$2:C153,C153)=1,1,0))</f>
        <v>1</v>
      </c>
    </row>
    <row r="154" spans="1:6" x14ac:dyDescent="0.2">
      <c r="A154" t="s">
        <v>368</v>
      </c>
      <c r="B154" t="s">
        <v>1063</v>
      </c>
      <c r="C154" t="s">
        <v>1251</v>
      </c>
      <c r="D154" t="s">
        <v>1252</v>
      </c>
      <c r="E154" s="1">
        <f>IF(COUNTIFS($A$2:A154,A154,$B$2:B154,B154)=1,1,0)</f>
        <v>1</v>
      </c>
      <c r="F154" s="1">
        <f>IF(C154="",0,IF(COUNTIFS($A$2:A154,A154,$B$2:B154,B154,$C$2:C154,C154)=1,1,0))</f>
        <v>1</v>
      </c>
    </row>
    <row r="155" spans="1:6" x14ac:dyDescent="0.2">
      <c r="A155" t="s">
        <v>368</v>
      </c>
      <c r="B155" t="s">
        <v>1063</v>
      </c>
      <c r="C155" t="s">
        <v>1251</v>
      </c>
      <c r="D155" t="s">
        <v>1276</v>
      </c>
      <c r="E155" s="1">
        <f>IF(COUNTIFS($A$2:A155,A155,$B$2:B155,B155)=1,1,0)</f>
        <v>0</v>
      </c>
      <c r="F155" s="1">
        <f>IF(C155="",0,IF(COUNTIFS($A$2:A155,A155,$B$2:B155,B155,$C$2:C155,C155)=1,1,0))</f>
        <v>0</v>
      </c>
    </row>
    <row r="156" spans="1:6" x14ac:dyDescent="0.2">
      <c r="A156" t="s">
        <v>368</v>
      </c>
      <c r="B156" t="s">
        <v>1063</v>
      </c>
      <c r="C156" t="s">
        <v>1263</v>
      </c>
      <c r="D156" t="s">
        <v>1264</v>
      </c>
      <c r="E156" s="1">
        <f>IF(COUNTIFS($A$2:A156,A156,$B$2:B156,B156)=1,1,0)</f>
        <v>0</v>
      </c>
      <c r="F156" s="1">
        <f>IF(C156="",0,IF(COUNTIFS($A$2:A156,A156,$B$2:B156,B156,$C$2:C156,C156)=1,1,0))</f>
        <v>1</v>
      </c>
    </row>
    <row r="157" spans="1:6" x14ac:dyDescent="0.2">
      <c r="A157" t="s">
        <v>371</v>
      </c>
      <c r="B157" t="s">
        <v>1061</v>
      </c>
      <c r="C157" t="s">
        <v>1249</v>
      </c>
      <c r="E157" s="1">
        <f>IF(COUNTIFS($A$2:A157,A157,$B$2:B157,B157)=1,1,0)</f>
        <v>1</v>
      </c>
      <c r="F157" s="1">
        <f>IF(C157="",0,IF(COUNTIFS($A$2:A157,A157,$B$2:B157,B157,$C$2:C157,C157)=1,1,0))</f>
        <v>1</v>
      </c>
    </row>
    <row r="158" spans="1:6" x14ac:dyDescent="0.2">
      <c r="A158" t="s">
        <v>371</v>
      </c>
      <c r="B158" t="s">
        <v>1061</v>
      </c>
      <c r="C158" t="s">
        <v>1249</v>
      </c>
      <c r="D158" t="s">
        <v>1278</v>
      </c>
      <c r="E158" s="1">
        <f>IF(COUNTIFS($A$2:A158,A158,$B$2:B158,B158)=1,1,0)</f>
        <v>0</v>
      </c>
      <c r="F158" s="1">
        <f>IF(C158="",0,IF(COUNTIFS($A$2:A158,A158,$B$2:B158,B158,$C$2:C158,C158)=1,1,0))</f>
        <v>0</v>
      </c>
    </row>
    <row r="159" spans="1:6" x14ac:dyDescent="0.2">
      <c r="A159" t="s">
        <v>374</v>
      </c>
      <c r="B159" t="s">
        <v>1061</v>
      </c>
      <c r="C159" t="s">
        <v>1249</v>
      </c>
      <c r="E159" s="1">
        <f>IF(COUNTIFS($A$2:A159,A159,$B$2:B159,B159)=1,1,0)</f>
        <v>1</v>
      </c>
      <c r="F159" s="1">
        <f>IF(C159="",0,IF(COUNTIFS($A$2:A159,A159,$B$2:B159,B159,$C$2:C159,C159)=1,1,0))</f>
        <v>1</v>
      </c>
    </row>
    <row r="160" spans="1:6" x14ac:dyDescent="0.2">
      <c r="A160" t="s">
        <v>374</v>
      </c>
      <c r="B160" t="s">
        <v>1063</v>
      </c>
      <c r="C160" t="s">
        <v>1259</v>
      </c>
      <c r="E160" s="1">
        <f>IF(COUNTIFS($A$2:A160,A160,$B$2:B160,B160)=1,1,0)</f>
        <v>1</v>
      </c>
      <c r="F160" s="1">
        <f>IF(C160="",0,IF(COUNTIFS($A$2:A160,A160,$B$2:B160,B160,$C$2:C160,C160)=1,1,0))</f>
        <v>1</v>
      </c>
    </row>
    <row r="161" spans="1:6" x14ac:dyDescent="0.2">
      <c r="A161" t="s">
        <v>377</v>
      </c>
      <c r="B161" t="s">
        <v>1061</v>
      </c>
      <c r="C161" t="s">
        <v>1249</v>
      </c>
      <c r="E161" s="1">
        <f>IF(COUNTIFS($A$2:A161,A161,$B$2:B161,B161)=1,1,0)</f>
        <v>1</v>
      </c>
      <c r="F161" s="1">
        <f>IF(C161="",0,IF(COUNTIFS($A$2:A161,A161,$B$2:B161,B161,$C$2:C161,C161)=1,1,0))</f>
        <v>1</v>
      </c>
    </row>
    <row r="162" spans="1:6" x14ac:dyDescent="0.2">
      <c r="A162" t="s">
        <v>377</v>
      </c>
      <c r="B162" t="s">
        <v>1059</v>
      </c>
      <c r="C162" t="s">
        <v>1246</v>
      </c>
      <c r="D162" t="s">
        <v>1247</v>
      </c>
      <c r="E162" s="1">
        <f>IF(COUNTIFS($A$2:A162,A162,$B$2:B162,B162)=1,1,0)</f>
        <v>1</v>
      </c>
      <c r="F162" s="1">
        <f>IF(C162="",0,IF(COUNTIFS($A$2:A162,A162,$B$2:B162,B162,$C$2:C162,C162)=1,1,0))</f>
        <v>1</v>
      </c>
    </row>
    <row r="163" spans="1:6" x14ac:dyDescent="0.2">
      <c r="A163" t="s">
        <v>380</v>
      </c>
      <c r="B163" t="s">
        <v>1061</v>
      </c>
      <c r="C163" t="s">
        <v>1249</v>
      </c>
      <c r="D163" t="s">
        <v>1250</v>
      </c>
      <c r="E163" s="1">
        <f>IF(COUNTIFS($A$2:A163,A163,$B$2:B163,B163)=1,1,0)</f>
        <v>1</v>
      </c>
      <c r="F163" s="1">
        <f>IF(C163="",0,IF(COUNTIFS($A$2:A163,A163,$B$2:B163,B163,$C$2:C163,C163)=1,1,0))</f>
        <v>1</v>
      </c>
    </row>
    <row r="164" spans="1:6" x14ac:dyDescent="0.2">
      <c r="A164" t="s">
        <v>380</v>
      </c>
      <c r="B164" t="s">
        <v>1061</v>
      </c>
      <c r="C164" t="s">
        <v>1249</v>
      </c>
      <c r="D164" t="s">
        <v>1257</v>
      </c>
      <c r="E164" s="1">
        <f>IF(COUNTIFS($A$2:A164,A164,$B$2:B164,B164)=1,1,0)</f>
        <v>0</v>
      </c>
      <c r="F164" s="1">
        <f>IF(C164="",0,IF(COUNTIFS($A$2:A164,A164,$B$2:B164,B164,$C$2:C164,C164)=1,1,0))</f>
        <v>0</v>
      </c>
    </row>
    <row r="165" spans="1:6" x14ac:dyDescent="0.2">
      <c r="A165" t="s">
        <v>383</v>
      </c>
      <c r="B165" t="s">
        <v>1061</v>
      </c>
      <c r="C165" t="s">
        <v>1249</v>
      </c>
      <c r="D165" t="s">
        <v>1250</v>
      </c>
      <c r="E165" s="1">
        <f>IF(COUNTIFS($A$2:A165,A165,$B$2:B165,B165)=1,1,0)</f>
        <v>1</v>
      </c>
      <c r="F165" s="1">
        <f>IF(C165="",0,IF(COUNTIFS($A$2:A165,A165,$B$2:B165,B165,$C$2:C165,C165)=1,1,0))</f>
        <v>1</v>
      </c>
    </row>
    <row r="166" spans="1:6" x14ac:dyDescent="0.2">
      <c r="A166" t="s">
        <v>383</v>
      </c>
      <c r="B166" t="s">
        <v>1063</v>
      </c>
      <c r="C166" t="s">
        <v>1251</v>
      </c>
      <c r="E166" s="1">
        <f>IF(COUNTIFS($A$2:A166,A166,$B$2:B166,B166)=1,1,0)</f>
        <v>1</v>
      </c>
      <c r="F166" s="1">
        <f>IF(C166="",0,IF(COUNTIFS($A$2:A166,A166,$B$2:B166,B166,$C$2:C166,C166)=1,1,0))</f>
        <v>1</v>
      </c>
    </row>
    <row r="167" spans="1:6" x14ac:dyDescent="0.2">
      <c r="A167" t="s">
        <v>385</v>
      </c>
      <c r="B167" t="s">
        <v>1061</v>
      </c>
      <c r="C167" t="s">
        <v>1249</v>
      </c>
      <c r="E167" s="1">
        <f>IF(COUNTIFS($A$2:A167,A167,$B$2:B167,B167)=1,1,0)</f>
        <v>1</v>
      </c>
      <c r="F167" s="1">
        <f>IF(C167="",0,IF(COUNTIFS($A$2:A167,A167,$B$2:B167,B167,$C$2:C167,C167)=1,1,0))</f>
        <v>1</v>
      </c>
    </row>
    <row r="168" spans="1:6" x14ac:dyDescent="0.2">
      <c r="A168" t="s">
        <v>385</v>
      </c>
      <c r="B168" t="s">
        <v>1059</v>
      </c>
      <c r="C168" t="s">
        <v>1261</v>
      </c>
      <c r="D168" t="s">
        <v>1272</v>
      </c>
      <c r="E168" s="1">
        <f>IF(COUNTIFS($A$2:A168,A168,$B$2:B168,B168)=1,1,0)</f>
        <v>1</v>
      </c>
      <c r="F168" s="1">
        <f>IF(C168="",0,IF(COUNTIFS($A$2:A168,A168,$B$2:B168,B168,$C$2:C168,C168)=1,1,0))</f>
        <v>1</v>
      </c>
    </row>
    <row r="169" spans="1:6" x14ac:dyDescent="0.2">
      <c r="A169" t="s">
        <v>385</v>
      </c>
      <c r="B169" t="s">
        <v>1059</v>
      </c>
      <c r="C169" t="s">
        <v>1253</v>
      </c>
      <c r="D169" t="s">
        <v>1254</v>
      </c>
      <c r="E169" s="1">
        <f>IF(COUNTIFS($A$2:A169,A169,$B$2:B169,B169)=1,1,0)</f>
        <v>0</v>
      </c>
      <c r="F169" s="1">
        <f>IF(C169="",0,IF(COUNTIFS($A$2:A169,A169,$B$2:B169,B169,$C$2:C169,C169)=1,1,0))</f>
        <v>1</v>
      </c>
    </row>
    <row r="170" spans="1:6" x14ac:dyDescent="0.2">
      <c r="A170" t="s">
        <v>389</v>
      </c>
      <c r="B170" t="s">
        <v>1061</v>
      </c>
      <c r="C170" t="s">
        <v>1249</v>
      </c>
      <c r="D170" t="s">
        <v>1250</v>
      </c>
      <c r="E170" s="1">
        <f>IF(COUNTIFS($A$2:A170,A170,$B$2:B170,B170)=1,1,0)</f>
        <v>1</v>
      </c>
      <c r="F170" s="1">
        <f>IF(C170="",0,IF(COUNTIFS($A$2:A170,A170,$B$2:B170,B170,$C$2:C170,C170)=1,1,0))</f>
        <v>1</v>
      </c>
    </row>
    <row r="171" spans="1:6" x14ac:dyDescent="0.2">
      <c r="A171" t="s">
        <v>389</v>
      </c>
      <c r="B171" t="s">
        <v>1059</v>
      </c>
      <c r="C171" t="s">
        <v>1261</v>
      </c>
      <c r="D171" t="s">
        <v>1275</v>
      </c>
      <c r="E171" s="1">
        <f>IF(COUNTIFS($A$2:A171,A171,$B$2:B171,B171)=1,1,0)</f>
        <v>1</v>
      </c>
      <c r="F171" s="1">
        <f>IF(C171="",0,IF(COUNTIFS($A$2:A171,A171,$B$2:B171,B171,$C$2:C171,C171)=1,1,0))</f>
        <v>1</v>
      </c>
    </row>
    <row r="172" spans="1:6" x14ac:dyDescent="0.2">
      <c r="A172" t="s">
        <v>392</v>
      </c>
      <c r="B172" t="s">
        <v>1061</v>
      </c>
      <c r="C172" t="s">
        <v>1249</v>
      </c>
      <c r="E172" s="1">
        <f>IF(COUNTIFS($A$2:A172,A172,$B$2:B172,B172)=1,1,0)</f>
        <v>1</v>
      </c>
      <c r="F172" s="1">
        <f>IF(C172="",0,IF(COUNTIFS($A$2:A172,A172,$B$2:B172,B172,$C$2:C172,C172)=1,1,0))</f>
        <v>1</v>
      </c>
    </row>
    <row r="173" spans="1:6" x14ac:dyDescent="0.2">
      <c r="A173" t="s">
        <v>392</v>
      </c>
      <c r="B173" t="s">
        <v>1059</v>
      </c>
      <c r="C173" t="s">
        <v>1244</v>
      </c>
      <c r="D173" t="s">
        <v>1245</v>
      </c>
      <c r="E173" s="1">
        <f>IF(COUNTIFS($A$2:A173,A173,$B$2:B173,B173)=1,1,0)</f>
        <v>1</v>
      </c>
      <c r="F173" s="1">
        <f>IF(C173="",0,IF(COUNTIFS($A$2:A173,A173,$B$2:B173,B173,$C$2:C173,C173)=1,1,0))</f>
        <v>1</v>
      </c>
    </row>
    <row r="174" spans="1:6" x14ac:dyDescent="0.2">
      <c r="A174" t="s">
        <v>395</v>
      </c>
      <c r="B174" t="s">
        <v>1063</v>
      </c>
      <c r="C174" t="s">
        <v>1259</v>
      </c>
      <c r="D174" t="s">
        <v>1274</v>
      </c>
      <c r="E174" s="1">
        <f>IF(COUNTIFS($A$2:A174,A174,$B$2:B174,B174)=1,1,0)</f>
        <v>1</v>
      </c>
      <c r="F174" s="1">
        <f>IF(C174="",0,IF(COUNTIFS($A$2:A174,A174,$B$2:B174,B174,$C$2:C174,C174)=1,1,0))</f>
        <v>1</v>
      </c>
    </row>
    <row r="175" spans="1:6" x14ac:dyDescent="0.2">
      <c r="A175" t="s">
        <v>395</v>
      </c>
      <c r="B175" t="s">
        <v>1063</v>
      </c>
      <c r="C175" t="s">
        <v>1251</v>
      </c>
      <c r="D175" t="s">
        <v>1258</v>
      </c>
      <c r="E175" s="1">
        <f>IF(COUNTIFS($A$2:A175,A175,$B$2:B175,B175)=1,1,0)</f>
        <v>0</v>
      </c>
      <c r="F175" s="1">
        <f>IF(C175="",0,IF(COUNTIFS($A$2:A175,A175,$B$2:B175,B175,$C$2:C175,C175)=1,1,0))</f>
        <v>1</v>
      </c>
    </row>
    <row r="176" spans="1:6" x14ac:dyDescent="0.2">
      <c r="A176" t="s">
        <v>399</v>
      </c>
      <c r="B176" t="s">
        <v>1063</v>
      </c>
      <c r="C176" t="s">
        <v>1259</v>
      </c>
      <c r="D176" t="s">
        <v>1274</v>
      </c>
      <c r="E176" s="1">
        <f>IF(COUNTIFS($A$2:A176,A176,$B$2:B176,B176)=1,1,0)</f>
        <v>1</v>
      </c>
      <c r="F176" s="1">
        <f>IF(C176="",0,IF(COUNTIFS($A$2:A176,A176,$B$2:B176,B176,$C$2:C176,C176)=1,1,0))</f>
        <v>1</v>
      </c>
    </row>
    <row r="177" spans="1:6" x14ac:dyDescent="0.2">
      <c r="A177" t="s">
        <v>399</v>
      </c>
      <c r="B177" t="s">
        <v>1059</v>
      </c>
      <c r="C177" t="s">
        <v>1261</v>
      </c>
      <c r="D177" t="s">
        <v>1272</v>
      </c>
      <c r="E177" s="1">
        <f>IF(COUNTIFS($A$2:A177,A177,$B$2:B177,B177)=1,1,0)</f>
        <v>1</v>
      </c>
      <c r="F177" s="1">
        <f>IF(C177="",0,IF(COUNTIFS($A$2:A177,A177,$B$2:B177,B177,$C$2:C177,C177)=1,1,0))</f>
        <v>1</v>
      </c>
    </row>
    <row r="178" spans="1:6" x14ac:dyDescent="0.2">
      <c r="A178" t="s">
        <v>403</v>
      </c>
      <c r="B178" t="s">
        <v>1061</v>
      </c>
      <c r="C178" t="s">
        <v>1249</v>
      </c>
      <c r="D178" t="s">
        <v>1250</v>
      </c>
      <c r="E178" s="1">
        <f>IF(COUNTIFS($A$2:A178,A178,$B$2:B178,B178)=1,1,0)</f>
        <v>1</v>
      </c>
      <c r="F178" s="1">
        <f>IF(C178="",0,IF(COUNTIFS($A$2:A178,A178,$B$2:B178,B178,$C$2:C178,C178)=1,1,0))</f>
        <v>1</v>
      </c>
    </row>
    <row r="179" spans="1:6" x14ac:dyDescent="0.2">
      <c r="A179" t="s">
        <v>407</v>
      </c>
      <c r="B179" t="s">
        <v>1063</v>
      </c>
      <c r="C179" t="s">
        <v>1251</v>
      </c>
      <c r="D179" t="s">
        <v>1252</v>
      </c>
      <c r="E179" s="1">
        <f>IF(COUNTIFS($A$2:A179,A179,$B$2:B179,B179)=1,1,0)</f>
        <v>1</v>
      </c>
      <c r="F179" s="1">
        <f>IF(C179="",0,IF(COUNTIFS($A$2:A179,A179,$B$2:B179,B179,$C$2:C179,C179)=1,1,0))</f>
        <v>1</v>
      </c>
    </row>
    <row r="180" spans="1:6" x14ac:dyDescent="0.2">
      <c r="A180" t="s">
        <v>407</v>
      </c>
      <c r="B180" t="s">
        <v>1059</v>
      </c>
      <c r="C180" t="s">
        <v>1246</v>
      </c>
      <c r="D180" t="s">
        <v>1247</v>
      </c>
      <c r="E180" s="1">
        <f>IF(COUNTIFS($A$2:A180,A180,$B$2:B180,B180)=1,1,0)</f>
        <v>1</v>
      </c>
      <c r="F180" s="1">
        <f>IF(C180="",0,IF(COUNTIFS($A$2:A180,A180,$B$2:B180,B180,$C$2:C180,C180)=1,1,0))</f>
        <v>1</v>
      </c>
    </row>
    <row r="181" spans="1:6" x14ac:dyDescent="0.2">
      <c r="A181" t="s">
        <v>411</v>
      </c>
      <c r="B181" t="s">
        <v>1063</v>
      </c>
      <c r="C181" t="s">
        <v>1259</v>
      </c>
      <c r="E181" s="1">
        <f>IF(COUNTIFS($A$2:A181,A181,$B$2:B181,B181)=1,1,0)</f>
        <v>1</v>
      </c>
      <c r="F181" s="1">
        <f>IF(C181="",0,IF(COUNTIFS($A$2:A181,A181,$B$2:B181,B181,$C$2:C181,C181)=1,1,0))</f>
        <v>1</v>
      </c>
    </row>
    <row r="182" spans="1:6" x14ac:dyDescent="0.2">
      <c r="A182" t="s">
        <v>414</v>
      </c>
      <c r="B182" t="s">
        <v>1063</v>
      </c>
      <c r="C182" t="s">
        <v>1259</v>
      </c>
      <c r="E182" s="1">
        <f>IF(COUNTIFS($A$2:A182,A182,$B$2:B182,B182)=1,1,0)</f>
        <v>1</v>
      </c>
      <c r="F182" s="1">
        <f>IF(C182="",0,IF(COUNTIFS($A$2:A182,A182,$B$2:B182,B182,$C$2:C182,C182)=1,1,0))</f>
        <v>1</v>
      </c>
    </row>
    <row r="183" spans="1:6" x14ac:dyDescent="0.2">
      <c r="A183" t="s">
        <v>414</v>
      </c>
      <c r="B183" t="s">
        <v>1063</v>
      </c>
      <c r="C183" t="s">
        <v>1251</v>
      </c>
      <c r="E183" s="1">
        <f>IF(COUNTIFS($A$2:A183,A183,$B$2:B183,B183)=1,1,0)</f>
        <v>0</v>
      </c>
      <c r="F183" s="1">
        <f>IF(C183="",0,IF(COUNTIFS($A$2:A183,A183,$B$2:B183,B183,$C$2:C183,C183)=1,1,0))</f>
        <v>1</v>
      </c>
    </row>
    <row r="184" spans="1:6" x14ac:dyDescent="0.2">
      <c r="A184" t="s">
        <v>417</v>
      </c>
      <c r="B184" t="s">
        <v>1063</v>
      </c>
      <c r="C184" t="s">
        <v>1259</v>
      </c>
      <c r="E184" s="1">
        <f>IF(COUNTIFS($A$2:A184,A184,$B$2:B184,B184)=1,1,0)</f>
        <v>1</v>
      </c>
      <c r="F184" s="1">
        <f>IF(C184="",0,IF(COUNTIFS($A$2:A184,A184,$B$2:B184,B184,$C$2:C184,C184)=1,1,0))</f>
        <v>1</v>
      </c>
    </row>
    <row r="185" spans="1:6" x14ac:dyDescent="0.2">
      <c r="A185" t="s">
        <v>417</v>
      </c>
      <c r="B185" t="s">
        <v>1059</v>
      </c>
      <c r="C185" t="s">
        <v>1265</v>
      </c>
      <c r="D185" t="s">
        <v>1271</v>
      </c>
      <c r="E185" s="1">
        <f>IF(COUNTIFS($A$2:A185,A185,$B$2:B185,B185)=1,1,0)</f>
        <v>1</v>
      </c>
      <c r="F185" s="1">
        <f>IF(C185="",0,IF(COUNTIFS($A$2:A185,A185,$B$2:B185,B185,$C$2:C185,C185)=1,1,0))</f>
        <v>1</v>
      </c>
    </row>
    <row r="186" spans="1:6" x14ac:dyDescent="0.2">
      <c r="A186" t="s">
        <v>421</v>
      </c>
      <c r="B186" t="s">
        <v>1063</v>
      </c>
      <c r="C186" t="s">
        <v>1251</v>
      </c>
      <c r="D186" t="s">
        <v>1276</v>
      </c>
      <c r="E186" s="1">
        <f>IF(COUNTIFS($A$2:A186,A186,$B$2:B186,B186)=1,1,0)</f>
        <v>1</v>
      </c>
      <c r="F186" s="1">
        <f>IF(C186="",0,IF(COUNTIFS($A$2:A186,A186,$B$2:B186,B186,$C$2:C186,C186)=1,1,0))</f>
        <v>1</v>
      </c>
    </row>
    <row r="187" spans="1:6" x14ac:dyDescent="0.2">
      <c r="A187" t="s">
        <v>421</v>
      </c>
      <c r="B187" t="s">
        <v>1063</v>
      </c>
      <c r="C187" t="s">
        <v>1251</v>
      </c>
      <c r="D187" t="s">
        <v>1252</v>
      </c>
      <c r="E187" s="1">
        <f>IF(COUNTIFS($A$2:A187,A187,$B$2:B187,B187)=1,1,0)</f>
        <v>0</v>
      </c>
      <c r="F187" s="1">
        <f>IF(C187="",0,IF(COUNTIFS($A$2:A187,A187,$B$2:B187,B187,$C$2:C187,C187)=1,1,0))</f>
        <v>0</v>
      </c>
    </row>
    <row r="188" spans="1:6" x14ac:dyDescent="0.2">
      <c r="A188" t="s">
        <v>421</v>
      </c>
      <c r="B188" t="s">
        <v>1061</v>
      </c>
      <c r="C188" t="s">
        <v>1249</v>
      </c>
      <c r="E188" s="1">
        <f>IF(COUNTIFS($A$2:A188,A188,$B$2:B188,B188)=1,1,0)</f>
        <v>1</v>
      </c>
      <c r="F188" s="1">
        <f>IF(C188="",0,IF(COUNTIFS($A$2:A188,A188,$B$2:B188,B188,$C$2:C188,C188)=1,1,0))</f>
        <v>1</v>
      </c>
    </row>
    <row r="189" spans="1:6" x14ac:dyDescent="0.2">
      <c r="A189" t="s">
        <v>421</v>
      </c>
      <c r="B189" t="s">
        <v>1061</v>
      </c>
      <c r="C189" t="s">
        <v>1249</v>
      </c>
      <c r="D189" t="s">
        <v>1257</v>
      </c>
      <c r="E189" s="1">
        <f>IF(COUNTIFS($A$2:A189,A189,$B$2:B189,B189)=1,1,0)</f>
        <v>0</v>
      </c>
      <c r="F189" s="1">
        <f>IF(C189="",0,IF(COUNTIFS($A$2:A189,A189,$B$2:B189,B189,$C$2:C189,C189)=1,1,0))</f>
        <v>0</v>
      </c>
    </row>
    <row r="190" spans="1:6" x14ac:dyDescent="0.2">
      <c r="A190" t="s">
        <v>431</v>
      </c>
      <c r="B190" t="s">
        <v>1060</v>
      </c>
      <c r="E190" s="1">
        <f>IF(COUNTIFS($A$2:A190,A190,$B$2:B190,B190)=1,1,0)</f>
        <v>1</v>
      </c>
      <c r="F190" s="1">
        <f>IF(C190="",0,IF(COUNTIFS($A$2:A190,A190,$B$2:B190,B190,$C$2:C190,C190)=1,1,0))</f>
        <v>0</v>
      </c>
    </row>
    <row r="191" spans="1:6" x14ac:dyDescent="0.2">
      <c r="A191" t="s">
        <v>425</v>
      </c>
      <c r="B191" t="s">
        <v>1059</v>
      </c>
      <c r="C191" t="s">
        <v>1265</v>
      </c>
      <c r="D191" t="s">
        <v>1266</v>
      </c>
      <c r="E191" s="1">
        <f>IF(COUNTIFS($A$2:A191,A191,$B$2:B191,B191)=1,1,0)</f>
        <v>1</v>
      </c>
      <c r="F191" s="1">
        <f>IF(C191="",0,IF(COUNTIFS($A$2:A191,A191,$B$2:B191,B191,$C$2:C191,C191)=1,1,0))</f>
        <v>1</v>
      </c>
    </row>
    <row r="192" spans="1:6" x14ac:dyDescent="0.2">
      <c r="A192" t="s">
        <v>428</v>
      </c>
      <c r="B192" t="s">
        <v>1059</v>
      </c>
      <c r="C192" t="s">
        <v>1246</v>
      </c>
      <c r="E192" s="1">
        <f>IF(COUNTIFS($A$2:A192,A192,$B$2:B192,B192)=1,1,0)</f>
        <v>1</v>
      </c>
      <c r="F192" s="1">
        <f>IF(C192="",0,IF(COUNTIFS($A$2:A192,A192,$B$2:B192,B192,$C$2:C192,C192)=1,1,0))</f>
        <v>1</v>
      </c>
    </row>
    <row r="193" spans="1:6" x14ac:dyDescent="0.2">
      <c r="A193" t="s">
        <v>433</v>
      </c>
      <c r="B193" t="s">
        <v>1061</v>
      </c>
      <c r="C193" t="s">
        <v>1249</v>
      </c>
      <c r="D193" t="s">
        <v>1250</v>
      </c>
      <c r="E193" s="1">
        <f>IF(COUNTIFS($A$2:A193,A193,$B$2:B193,B193)=1,1,0)</f>
        <v>1</v>
      </c>
      <c r="F193" s="1">
        <f>IF(C193="",0,IF(COUNTIFS($A$2:A193,A193,$B$2:B193,B193,$C$2:C193,C193)=1,1,0))</f>
        <v>1</v>
      </c>
    </row>
    <row r="194" spans="1:6" x14ac:dyDescent="0.2">
      <c r="A194" t="s">
        <v>433</v>
      </c>
      <c r="B194" t="s">
        <v>1060</v>
      </c>
      <c r="E194" s="1">
        <f>IF(COUNTIFS($A$2:A194,A194,$B$2:B194,B194)=1,1,0)</f>
        <v>1</v>
      </c>
      <c r="F194" s="1">
        <f>IF(C194="",0,IF(COUNTIFS($A$2:A194,A194,$B$2:B194,B194,$C$2:C194,C194)=1,1,0))</f>
        <v>0</v>
      </c>
    </row>
    <row r="195" spans="1:6" x14ac:dyDescent="0.2">
      <c r="A195" t="s">
        <v>436</v>
      </c>
      <c r="B195" t="s">
        <v>1063</v>
      </c>
      <c r="C195" t="s">
        <v>1251</v>
      </c>
      <c r="D195" t="s">
        <v>1276</v>
      </c>
      <c r="E195" s="1">
        <f>IF(COUNTIFS($A$2:A195,A195,$B$2:B195,B195)=1,1,0)</f>
        <v>1</v>
      </c>
      <c r="F195" s="1">
        <f>IF(C195="",0,IF(COUNTIFS($A$2:A195,A195,$B$2:B195,B195,$C$2:C195,C195)=1,1,0))</f>
        <v>1</v>
      </c>
    </row>
    <row r="196" spans="1:6" x14ac:dyDescent="0.2">
      <c r="A196" t="s">
        <v>436</v>
      </c>
      <c r="B196" t="s">
        <v>1063</v>
      </c>
      <c r="C196" t="s">
        <v>1259</v>
      </c>
      <c r="E196" s="1">
        <f>IF(COUNTIFS($A$2:A196,A196,$B$2:B196,B196)=1,1,0)</f>
        <v>0</v>
      </c>
      <c r="F196" s="1">
        <f>IF(C196="",0,IF(COUNTIFS($A$2:A196,A196,$B$2:B196,B196,$C$2:C196,C196)=1,1,0))</f>
        <v>1</v>
      </c>
    </row>
    <row r="197" spans="1:6" x14ac:dyDescent="0.2">
      <c r="A197" t="s">
        <v>439</v>
      </c>
      <c r="B197" t="s">
        <v>1059</v>
      </c>
      <c r="C197" t="s">
        <v>1261</v>
      </c>
      <c r="D197" t="s">
        <v>1272</v>
      </c>
      <c r="E197" s="1">
        <f>IF(COUNTIFS($A$2:A197,A197,$B$2:B197,B197)=1,1,0)</f>
        <v>1</v>
      </c>
      <c r="F197" s="1">
        <f>IF(C197="",0,IF(COUNTIFS($A$2:A197,A197,$B$2:B197,B197,$C$2:C197,C197)=1,1,0))</f>
        <v>1</v>
      </c>
    </row>
    <row r="198" spans="1:6" x14ac:dyDescent="0.2">
      <c r="A198" t="s">
        <v>439</v>
      </c>
      <c r="B198" t="s">
        <v>1063</v>
      </c>
      <c r="C198" t="s">
        <v>1251</v>
      </c>
      <c r="D198" t="s">
        <v>1252</v>
      </c>
      <c r="E198" s="1">
        <f>IF(COUNTIFS($A$2:A198,A198,$B$2:B198,B198)=1,1,0)</f>
        <v>1</v>
      </c>
      <c r="F198" s="1">
        <f>IF(C198="",0,IF(COUNTIFS($A$2:A198,A198,$B$2:B198,B198,$C$2:C198,C198)=1,1,0))</f>
        <v>1</v>
      </c>
    </row>
    <row r="199" spans="1:6" x14ac:dyDescent="0.2">
      <c r="A199" t="s">
        <v>442</v>
      </c>
      <c r="B199" t="s">
        <v>1059</v>
      </c>
      <c r="C199" t="s">
        <v>1255</v>
      </c>
      <c r="D199" t="s">
        <v>1256</v>
      </c>
      <c r="E199" s="1">
        <f>IF(COUNTIFS($A$2:A199,A199,$B$2:B199,B199)=1,1,0)</f>
        <v>1</v>
      </c>
      <c r="F199" s="1">
        <f>IF(C199="",0,IF(COUNTIFS($A$2:A199,A199,$B$2:B199,B199,$C$2:C199,C199)=1,1,0))</f>
        <v>1</v>
      </c>
    </row>
    <row r="200" spans="1:6" x14ac:dyDescent="0.2">
      <c r="A200" t="s">
        <v>442</v>
      </c>
      <c r="B200" t="s">
        <v>1059</v>
      </c>
      <c r="C200" t="s">
        <v>1265</v>
      </c>
      <c r="D200" t="s">
        <v>1266</v>
      </c>
      <c r="E200" s="1">
        <f>IF(COUNTIFS($A$2:A200,A200,$B$2:B200,B200)=1,1,0)</f>
        <v>0</v>
      </c>
      <c r="F200" s="1">
        <f>IF(C200="",0,IF(COUNTIFS($A$2:A200,A200,$B$2:B200,B200,$C$2:C200,C200)=1,1,0))</f>
        <v>1</v>
      </c>
    </row>
    <row r="201" spans="1:6" x14ac:dyDescent="0.2">
      <c r="A201" t="s">
        <v>445</v>
      </c>
      <c r="B201" t="s">
        <v>1061</v>
      </c>
      <c r="C201" t="s">
        <v>1249</v>
      </c>
      <c r="E201" s="1">
        <f>IF(COUNTIFS($A$2:A201,A201,$B$2:B201,B201)=1,1,0)</f>
        <v>1</v>
      </c>
      <c r="F201" s="1">
        <f>IF(C201="",0,IF(COUNTIFS($A$2:A201,A201,$B$2:B201,B201,$C$2:C201,C201)=1,1,0))</f>
        <v>1</v>
      </c>
    </row>
    <row r="202" spans="1:6" x14ac:dyDescent="0.2">
      <c r="A202" t="s">
        <v>445</v>
      </c>
      <c r="B202" t="s">
        <v>1063</v>
      </c>
      <c r="C202" t="s">
        <v>1259</v>
      </c>
      <c r="D202" t="s">
        <v>1274</v>
      </c>
      <c r="E202" s="1">
        <f>IF(COUNTIFS($A$2:A202,A202,$B$2:B202,B202)=1,1,0)</f>
        <v>1</v>
      </c>
      <c r="F202" s="1">
        <f>IF(C202="",0,IF(COUNTIFS($A$2:A202,A202,$B$2:B202,B202,$C$2:C202,C202)=1,1,0))</f>
        <v>1</v>
      </c>
    </row>
    <row r="203" spans="1:6" x14ac:dyDescent="0.2">
      <c r="A203" t="s">
        <v>447</v>
      </c>
      <c r="B203" t="s">
        <v>1063</v>
      </c>
      <c r="C203" t="s">
        <v>1259</v>
      </c>
      <c r="E203" s="1">
        <f>IF(COUNTIFS($A$2:A203,A203,$B$2:B203,B203)=1,1,0)</f>
        <v>1</v>
      </c>
      <c r="F203" s="1">
        <f>IF(C203="",0,IF(COUNTIFS($A$2:A203,A203,$B$2:B203,B203,$C$2:C203,C203)=1,1,0))</f>
        <v>1</v>
      </c>
    </row>
    <row r="204" spans="1:6" x14ac:dyDescent="0.2">
      <c r="A204" t="s">
        <v>447</v>
      </c>
      <c r="B204" t="s">
        <v>1061</v>
      </c>
      <c r="C204" t="s">
        <v>1249</v>
      </c>
      <c r="E204" s="1">
        <f>IF(COUNTIFS($A$2:A204,A204,$B$2:B204,B204)=1,1,0)</f>
        <v>1</v>
      </c>
      <c r="F204" s="1">
        <f>IF(C204="",0,IF(COUNTIFS($A$2:A204,A204,$B$2:B204,B204,$C$2:C204,C204)=1,1,0))</f>
        <v>1</v>
      </c>
    </row>
    <row r="205" spans="1:6" x14ac:dyDescent="0.2">
      <c r="A205" t="s">
        <v>450</v>
      </c>
      <c r="B205" t="s">
        <v>1061</v>
      </c>
      <c r="C205" t="s">
        <v>1249</v>
      </c>
      <c r="D205" t="s">
        <v>1250</v>
      </c>
      <c r="E205" s="1">
        <f>IF(COUNTIFS($A$2:A205,A205,$B$2:B205,B205)=1,1,0)</f>
        <v>1</v>
      </c>
      <c r="F205" s="1">
        <f>IF(C205="",0,IF(COUNTIFS($A$2:A205,A205,$B$2:B205,B205,$C$2:C205,C205)=1,1,0))</f>
        <v>1</v>
      </c>
    </row>
    <row r="206" spans="1:6" x14ac:dyDescent="0.2">
      <c r="A206" t="s">
        <v>450</v>
      </c>
      <c r="B206" t="s">
        <v>1063</v>
      </c>
      <c r="C206" t="s">
        <v>1259</v>
      </c>
      <c r="D206" t="s">
        <v>1274</v>
      </c>
      <c r="E206" s="1">
        <f>IF(COUNTIFS($A$2:A206,A206,$B$2:B206,B206)=1,1,0)</f>
        <v>1</v>
      </c>
      <c r="F206" s="1">
        <f>IF(C206="",0,IF(COUNTIFS($A$2:A206,A206,$B$2:B206,B206,$C$2:C206,C206)=1,1,0))</f>
        <v>1</v>
      </c>
    </row>
    <row r="207" spans="1:6" x14ac:dyDescent="0.2">
      <c r="A207" t="s">
        <v>453</v>
      </c>
      <c r="B207" t="s">
        <v>1061</v>
      </c>
      <c r="C207" t="s">
        <v>1249</v>
      </c>
      <c r="D207" t="s">
        <v>1267</v>
      </c>
      <c r="E207" s="1">
        <f>IF(COUNTIFS($A$2:A207,A207,$B$2:B207,B207)=1,1,0)</f>
        <v>1</v>
      </c>
      <c r="F207" s="1">
        <f>IF(C207="",0,IF(COUNTIFS($A$2:A207,A207,$B$2:B207,B207,$C$2:C207,C207)=1,1,0))</f>
        <v>1</v>
      </c>
    </row>
    <row r="208" spans="1:6" x14ac:dyDescent="0.2">
      <c r="A208" t="s">
        <v>453</v>
      </c>
      <c r="B208" t="s">
        <v>1061</v>
      </c>
      <c r="C208" t="s">
        <v>1268</v>
      </c>
      <c r="D208" t="s">
        <v>1269</v>
      </c>
      <c r="E208" s="1">
        <f>IF(COUNTIFS($A$2:A208,A208,$B$2:B208,B208)=1,1,0)</f>
        <v>0</v>
      </c>
      <c r="F208" s="1">
        <f>IF(C208="",0,IF(COUNTIFS($A$2:A208,A208,$B$2:B208,B208,$C$2:C208,C208)=1,1,0))</f>
        <v>1</v>
      </c>
    </row>
    <row r="209" spans="1:6" x14ac:dyDescent="0.2">
      <c r="A209" t="s">
        <v>457</v>
      </c>
      <c r="B209" t="s">
        <v>1063</v>
      </c>
      <c r="C209" t="s">
        <v>1251</v>
      </c>
      <c r="D209" t="s">
        <v>1252</v>
      </c>
      <c r="E209" s="1">
        <f>IF(COUNTIFS($A$2:A209,A209,$B$2:B209,B209)=1,1,0)</f>
        <v>1</v>
      </c>
      <c r="F209" s="1">
        <f>IF(C209="",0,IF(COUNTIFS($A$2:A209,A209,$B$2:B209,B209,$C$2:C209,C209)=1,1,0))</f>
        <v>1</v>
      </c>
    </row>
    <row r="210" spans="1:6" x14ac:dyDescent="0.2">
      <c r="A210" t="s">
        <v>457</v>
      </c>
      <c r="B210" t="s">
        <v>1059</v>
      </c>
      <c r="C210" t="s">
        <v>1261</v>
      </c>
      <c r="D210" t="s">
        <v>1272</v>
      </c>
      <c r="E210" s="1">
        <f>IF(COUNTIFS($A$2:A210,A210,$B$2:B210,B210)=1,1,0)</f>
        <v>1</v>
      </c>
      <c r="F210" s="1">
        <f>IF(C210="",0,IF(COUNTIFS($A$2:A210,A210,$B$2:B210,B210,$C$2:C210,C210)=1,1,0))</f>
        <v>1</v>
      </c>
    </row>
    <row r="211" spans="1:6" x14ac:dyDescent="0.2">
      <c r="A211" t="s">
        <v>461</v>
      </c>
      <c r="B211" t="s">
        <v>1060</v>
      </c>
      <c r="E211" s="1">
        <f>IF(COUNTIFS($A$2:A211,A211,$B$2:B211,B211)=1,1,0)</f>
        <v>1</v>
      </c>
      <c r="F211" s="1">
        <f>IF(C211="",0,IF(COUNTIFS($A$2:A211,A211,$B$2:B211,B211,$C$2:C211,C211)=1,1,0))</f>
        <v>0</v>
      </c>
    </row>
    <row r="212" spans="1:6" x14ac:dyDescent="0.2">
      <c r="A212" t="s">
        <v>463</v>
      </c>
      <c r="B212" t="s">
        <v>1063</v>
      </c>
      <c r="C212" t="s">
        <v>1259</v>
      </c>
      <c r="E212" s="1">
        <f>IF(COUNTIFS($A$2:A212,A212,$B$2:B212,B212)=1,1,0)</f>
        <v>1</v>
      </c>
      <c r="F212" s="1">
        <f>IF(C212="",0,IF(COUNTIFS($A$2:A212,A212,$B$2:B212,B212,$C$2:C212,C212)=1,1,0))</f>
        <v>1</v>
      </c>
    </row>
    <row r="213" spans="1:6" x14ac:dyDescent="0.2">
      <c r="A213" t="s">
        <v>463</v>
      </c>
      <c r="B213" t="s">
        <v>1059</v>
      </c>
      <c r="C213" t="s">
        <v>1265</v>
      </c>
      <c r="D213" t="s">
        <v>1266</v>
      </c>
      <c r="E213" s="1">
        <f>IF(COUNTIFS($A$2:A213,A213,$B$2:B213,B213)=1,1,0)</f>
        <v>1</v>
      </c>
      <c r="F213" s="1">
        <f>IF(C213="",0,IF(COUNTIFS($A$2:A213,A213,$B$2:B213,B213,$C$2:C213,C213)=1,1,0))</f>
        <v>1</v>
      </c>
    </row>
    <row r="214" spans="1:6" x14ac:dyDescent="0.2">
      <c r="A214" t="s">
        <v>465</v>
      </c>
      <c r="B214" t="s">
        <v>1061</v>
      </c>
      <c r="C214" t="s">
        <v>1249</v>
      </c>
      <c r="D214" t="s">
        <v>1250</v>
      </c>
      <c r="E214" s="1">
        <f>IF(COUNTIFS($A$2:A214,A214,$B$2:B214,B214)=1,1,0)</f>
        <v>1</v>
      </c>
      <c r="F214" s="1">
        <f>IF(C214="",0,IF(COUNTIFS($A$2:A214,A214,$B$2:B214,B214,$C$2:C214,C214)=1,1,0))</f>
        <v>1</v>
      </c>
    </row>
    <row r="215" spans="1:6" x14ac:dyDescent="0.2">
      <c r="A215" t="s">
        <v>465</v>
      </c>
      <c r="B215" t="s">
        <v>1063</v>
      </c>
      <c r="C215" t="s">
        <v>1259</v>
      </c>
      <c r="E215" s="1">
        <f>IF(COUNTIFS($A$2:A215,A215,$B$2:B215,B215)=1,1,0)</f>
        <v>1</v>
      </c>
      <c r="F215" s="1">
        <f>IF(C215="",0,IF(COUNTIFS($A$2:A215,A215,$B$2:B215,B215,$C$2:C215,C215)=1,1,0))</f>
        <v>1</v>
      </c>
    </row>
    <row r="216" spans="1:6" x14ac:dyDescent="0.2">
      <c r="A216" t="s">
        <v>470</v>
      </c>
      <c r="B216" t="s">
        <v>1061</v>
      </c>
      <c r="C216" t="s">
        <v>1249</v>
      </c>
      <c r="D216" t="s">
        <v>1278</v>
      </c>
      <c r="E216" s="1">
        <f>IF(COUNTIFS($A$2:A216,A216,$B$2:B216,B216)=1,1,0)</f>
        <v>1</v>
      </c>
      <c r="F216" s="1">
        <f>IF(C216="",0,IF(COUNTIFS($A$2:A216,A216,$B$2:B216,B216,$C$2:C216,C216)=1,1,0))</f>
        <v>1</v>
      </c>
    </row>
    <row r="217" spans="1:6" x14ac:dyDescent="0.2">
      <c r="A217" t="s">
        <v>475</v>
      </c>
      <c r="B217" t="s">
        <v>1061</v>
      </c>
      <c r="C217" t="s">
        <v>1249</v>
      </c>
      <c r="D217" t="s">
        <v>1250</v>
      </c>
      <c r="E217" s="1">
        <f>IF(COUNTIFS($A$2:A217,A217,$B$2:B217,B217)=1,1,0)</f>
        <v>1</v>
      </c>
      <c r="F217" s="1">
        <f>IF(C217="",0,IF(COUNTIFS($A$2:A217,A217,$B$2:B217,B217,$C$2:C217,C217)=1,1,0))</f>
        <v>1</v>
      </c>
    </row>
    <row r="218" spans="1:6" x14ac:dyDescent="0.2">
      <c r="A218" t="s">
        <v>475</v>
      </c>
      <c r="B218" t="s">
        <v>1063</v>
      </c>
      <c r="C218" t="s">
        <v>1259</v>
      </c>
      <c r="E218" s="1">
        <f>IF(COUNTIFS($A$2:A218,A218,$B$2:B218,B218)=1,1,0)</f>
        <v>1</v>
      </c>
      <c r="F218" s="1">
        <f>IF(C218="",0,IF(COUNTIFS($A$2:A218,A218,$B$2:B218,B218,$C$2:C218,C218)=1,1,0))</f>
        <v>1</v>
      </c>
    </row>
    <row r="219" spans="1:6" x14ac:dyDescent="0.2">
      <c r="A219" t="s">
        <v>475</v>
      </c>
      <c r="B219" t="s">
        <v>1063</v>
      </c>
      <c r="C219" t="s">
        <v>1251</v>
      </c>
      <c r="E219" s="1">
        <f>IF(COUNTIFS($A$2:A219,A219,$B$2:B219,B219)=1,1,0)</f>
        <v>0</v>
      </c>
      <c r="F219" s="1">
        <f>IF(C219="",0,IF(COUNTIFS($A$2:A219,A219,$B$2:B219,B219,$C$2:C219,C219)=1,1,0))</f>
        <v>1</v>
      </c>
    </row>
    <row r="220" spans="1:6" x14ac:dyDescent="0.2">
      <c r="A220" t="s">
        <v>565</v>
      </c>
      <c r="B220" t="s">
        <v>1060</v>
      </c>
      <c r="E220" s="1">
        <f>IF(COUNTIFS($A$2:A220,A220,$B$2:B220,B220)=1,1,0)</f>
        <v>1</v>
      </c>
      <c r="F220" s="1">
        <f>IF(C220="",0,IF(COUNTIFS($A$2:A220,A220,$B$2:B220,B220,$C$2:C220,C220)=1,1,0))</f>
        <v>0</v>
      </c>
    </row>
    <row r="221" spans="1:6" x14ac:dyDescent="0.2">
      <c r="A221" t="s">
        <v>478</v>
      </c>
      <c r="B221" t="s">
        <v>1061</v>
      </c>
      <c r="C221" t="s">
        <v>1268</v>
      </c>
      <c r="D221" t="s">
        <v>1277</v>
      </c>
      <c r="E221" s="1">
        <f>IF(COUNTIFS($A$2:A221,A221,$B$2:B221,B221)=1,1,0)</f>
        <v>1</v>
      </c>
      <c r="F221" s="1">
        <f>IF(C221="",0,IF(COUNTIFS($A$2:A221,A221,$B$2:B221,B221,$C$2:C221,C221)=1,1,0))</f>
        <v>1</v>
      </c>
    </row>
    <row r="222" spans="1:6" x14ac:dyDescent="0.2">
      <c r="A222" t="s">
        <v>481</v>
      </c>
      <c r="B222" t="s">
        <v>1063</v>
      </c>
      <c r="C222" t="s">
        <v>1251</v>
      </c>
      <c r="D222" t="s">
        <v>1252</v>
      </c>
      <c r="E222" s="1">
        <f>IF(COUNTIFS($A$2:A222,A222,$B$2:B222,B222)=1,1,0)</f>
        <v>1</v>
      </c>
      <c r="F222" s="1">
        <f>IF(C222="",0,IF(COUNTIFS($A$2:A222,A222,$B$2:B222,B222,$C$2:C222,C222)=1,1,0))</f>
        <v>1</v>
      </c>
    </row>
    <row r="223" spans="1:6" x14ac:dyDescent="0.2">
      <c r="A223" t="s">
        <v>481</v>
      </c>
      <c r="B223" t="s">
        <v>1063</v>
      </c>
      <c r="C223" t="s">
        <v>1251</v>
      </c>
      <c r="D223" t="s">
        <v>1276</v>
      </c>
      <c r="E223" s="1">
        <f>IF(COUNTIFS($A$2:A223,A223,$B$2:B223,B223)=1,1,0)</f>
        <v>0</v>
      </c>
      <c r="F223" s="1">
        <f>IF(C223="",0,IF(COUNTIFS($A$2:A223,A223,$B$2:B223,B223,$C$2:C223,C223)=1,1,0))</f>
        <v>0</v>
      </c>
    </row>
    <row r="224" spans="1:6" x14ac:dyDescent="0.2">
      <c r="A224" t="s">
        <v>481</v>
      </c>
      <c r="B224" t="s">
        <v>1059</v>
      </c>
      <c r="C224" t="s">
        <v>1246</v>
      </c>
      <c r="D224" t="s">
        <v>1247</v>
      </c>
      <c r="E224" s="1">
        <f>IF(COUNTIFS($A$2:A224,A224,$B$2:B224,B224)=1,1,0)</f>
        <v>1</v>
      </c>
      <c r="F224" s="1">
        <f>IF(C224="",0,IF(COUNTIFS($A$2:A224,A224,$B$2:B224,B224,$C$2:C224,C224)=1,1,0))</f>
        <v>1</v>
      </c>
    </row>
    <row r="225" spans="1:6" x14ac:dyDescent="0.2">
      <c r="A225" t="s">
        <v>485</v>
      </c>
      <c r="B225" t="s">
        <v>1061</v>
      </c>
      <c r="C225" t="s">
        <v>1249</v>
      </c>
      <c r="D225" t="s">
        <v>1250</v>
      </c>
      <c r="E225" s="1">
        <f>IF(COUNTIFS($A$2:A225,A225,$B$2:B225,B225)=1,1,0)</f>
        <v>1</v>
      </c>
      <c r="F225" s="1">
        <f>IF(C225="",0,IF(COUNTIFS($A$2:A225,A225,$B$2:B225,B225,$C$2:C225,C225)=1,1,0))</f>
        <v>1</v>
      </c>
    </row>
    <row r="226" spans="1:6" x14ac:dyDescent="0.2">
      <c r="A226" t="s">
        <v>485</v>
      </c>
      <c r="B226" t="s">
        <v>1059</v>
      </c>
      <c r="C226" t="s">
        <v>1253</v>
      </c>
      <c r="D226" t="s">
        <v>1254</v>
      </c>
      <c r="E226" s="1">
        <f>IF(COUNTIFS($A$2:A226,A226,$B$2:B226,B226)=1,1,0)</f>
        <v>1</v>
      </c>
      <c r="F226" s="1">
        <f>IF(C226="",0,IF(COUNTIFS($A$2:A226,A226,$B$2:B226,B226,$C$2:C226,C226)=1,1,0))</f>
        <v>1</v>
      </c>
    </row>
    <row r="227" spans="1:6" x14ac:dyDescent="0.2">
      <c r="A227" t="s">
        <v>488</v>
      </c>
      <c r="B227" t="s">
        <v>1061</v>
      </c>
      <c r="C227" t="s">
        <v>1249</v>
      </c>
      <c r="E227" s="1">
        <f>IF(COUNTIFS($A$2:A227,A227,$B$2:B227,B227)=1,1,0)</f>
        <v>1</v>
      </c>
      <c r="F227" s="1">
        <f>IF(C227="",0,IF(COUNTIFS($A$2:A227,A227,$B$2:B227,B227,$C$2:C227,C227)=1,1,0))</f>
        <v>1</v>
      </c>
    </row>
    <row r="228" spans="1:6" x14ac:dyDescent="0.2">
      <c r="A228" t="s">
        <v>488</v>
      </c>
      <c r="B228" t="s">
        <v>1061</v>
      </c>
      <c r="C228" t="s">
        <v>1268</v>
      </c>
      <c r="D228" t="s">
        <v>1277</v>
      </c>
      <c r="E228" s="1">
        <f>IF(COUNTIFS($A$2:A228,A228,$B$2:B228,B228)=1,1,0)</f>
        <v>0</v>
      </c>
      <c r="F228" s="1">
        <f>IF(C228="",0,IF(COUNTIFS($A$2:A228,A228,$B$2:B228,B228,$C$2:C228,C228)=1,1,0))</f>
        <v>1</v>
      </c>
    </row>
    <row r="229" spans="1:6" x14ac:dyDescent="0.2">
      <c r="A229" t="s">
        <v>488</v>
      </c>
      <c r="B229" t="s">
        <v>1060</v>
      </c>
      <c r="E229" s="1">
        <f>IF(COUNTIFS($A$2:A229,A229,$B$2:B229,B229)=1,1,0)</f>
        <v>1</v>
      </c>
      <c r="F229" s="1">
        <f>IF(C229="",0,IF(COUNTIFS($A$2:A229,A229,$B$2:B229,B229,$C$2:C229,C229)=1,1,0))</f>
        <v>0</v>
      </c>
    </row>
    <row r="230" spans="1:6" x14ac:dyDescent="0.2">
      <c r="A230" t="s">
        <v>492</v>
      </c>
      <c r="B230" t="s">
        <v>1061</v>
      </c>
      <c r="C230" t="s">
        <v>1249</v>
      </c>
      <c r="D230" t="s">
        <v>1250</v>
      </c>
      <c r="E230" s="1">
        <f>IF(COUNTIFS($A$2:A230,A230,$B$2:B230,B230)=1,1,0)</f>
        <v>1</v>
      </c>
      <c r="F230" s="1">
        <f>IF(C230="",0,IF(COUNTIFS($A$2:A230,A230,$B$2:B230,B230,$C$2:C230,C230)=1,1,0))</f>
        <v>1</v>
      </c>
    </row>
    <row r="231" spans="1:6" x14ac:dyDescent="0.2">
      <c r="A231" t="s">
        <v>495</v>
      </c>
      <c r="B231" t="s">
        <v>1059</v>
      </c>
      <c r="C231" t="s">
        <v>1246</v>
      </c>
      <c r="D231" t="s">
        <v>1247</v>
      </c>
      <c r="E231" s="1">
        <f>IF(COUNTIFS($A$2:A231,A231,$B$2:B231,B231)=1,1,0)</f>
        <v>1</v>
      </c>
      <c r="F231" s="1">
        <f>IF(C231="",0,IF(COUNTIFS($A$2:A231,A231,$B$2:B231,B231,$C$2:C231,C231)=1,1,0))</f>
        <v>1</v>
      </c>
    </row>
    <row r="232" spans="1:6" x14ac:dyDescent="0.2">
      <c r="A232" t="s">
        <v>495</v>
      </c>
      <c r="B232" t="s">
        <v>1061</v>
      </c>
      <c r="C232" t="s">
        <v>1268</v>
      </c>
      <c r="D232" t="s">
        <v>1277</v>
      </c>
      <c r="E232" s="1">
        <f>IF(COUNTIFS($A$2:A232,A232,$B$2:B232,B232)=1,1,0)</f>
        <v>1</v>
      </c>
      <c r="F232" s="1">
        <f>IF(C232="",0,IF(COUNTIFS($A$2:A232,A232,$B$2:B232,B232,$C$2:C232,C232)=1,1,0))</f>
        <v>1</v>
      </c>
    </row>
    <row r="233" spans="1:6" x14ac:dyDescent="0.2">
      <c r="A233" t="s">
        <v>499</v>
      </c>
      <c r="B233" t="s">
        <v>1063</v>
      </c>
      <c r="C233" t="s">
        <v>1251</v>
      </c>
      <c r="D233" t="s">
        <v>1276</v>
      </c>
      <c r="E233" s="1">
        <f>IF(COUNTIFS($A$2:A233,A233,$B$2:B233,B233)=1,1,0)</f>
        <v>1</v>
      </c>
      <c r="F233" s="1">
        <f>IF(C233="",0,IF(COUNTIFS($A$2:A233,A233,$B$2:B233,B233,$C$2:C233,C233)=1,1,0))</f>
        <v>1</v>
      </c>
    </row>
    <row r="234" spans="1:6" x14ac:dyDescent="0.2">
      <c r="A234" t="s">
        <v>499</v>
      </c>
      <c r="B234" t="s">
        <v>1063</v>
      </c>
      <c r="C234" t="s">
        <v>1259</v>
      </c>
      <c r="E234" s="1">
        <f>IF(COUNTIFS($A$2:A234,A234,$B$2:B234,B234)=1,1,0)</f>
        <v>0</v>
      </c>
      <c r="F234" s="1">
        <f>IF(C234="",0,IF(COUNTIFS($A$2:A234,A234,$B$2:B234,B234,$C$2:C234,C234)=1,1,0))</f>
        <v>1</v>
      </c>
    </row>
    <row r="235" spans="1:6" x14ac:dyDescent="0.2">
      <c r="A235" t="s">
        <v>503</v>
      </c>
      <c r="B235" t="s">
        <v>1061</v>
      </c>
      <c r="C235" t="s">
        <v>1249</v>
      </c>
      <c r="D235" t="s">
        <v>1257</v>
      </c>
      <c r="E235" s="1">
        <f>IF(COUNTIFS($A$2:A235,A235,$B$2:B235,B235)=1,1,0)</f>
        <v>1</v>
      </c>
      <c r="F235" s="1">
        <f>IF(C235="",0,IF(COUNTIFS($A$2:A235,A235,$B$2:B235,B235,$C$2:C235,C235)=1,1,0))</f>
        <v>1</v>
      </c>
    </row>
    <row r="236" spans="1:6" x14ac:dyDescent="0.2">
      <c r="A236" t="s">
        <v>503</v>
      </c>
      <c r="B236" t="s">
        <v>1059</v>
      </c>
      <c r="C236" t="s">
        <v>1253</v>
      </c>
      <c r="D236" t="s">
        <v>1254</v>
      </c>
      <c r="E236" s="1">
        <f>IF(COUNTIFS($A$2:A236,A236,$B$2:B236,B236)=1,1,0)</f>
        <v>1</v>
      </c>
      <c r="F236" s="1">
        <f>IF(C236="",0,IF(COUNTIFS($A$2:A236,A236,$B$2:B236,B236,$C$2:C236,C236)=1,1,0))</f>
        <v>1</v>
      </c>
    </row>
    <row r="237" spans="1:6" x14ac:dyDescent="0.2">
      <c r="A237" t="s">
        <v>506</v>
      </c>
      <c r="B237" t="s">
        <v>1061</v>
      </c>
      <c r="C237" t="s">
        <v>1249</v>
      </c>
      <c r="E237" s="1">
        <f>IF(COUNTIFS($A$2:A237,A237,$B$2:B237,B237)=1,1,0)</f>
        <v>1</v>
      </c>
      <c r="F237" s="1">
        <f>IF(C237="",0,IF(COUNTIFS($A$2:A237,A237,$B$2:B237,B237,$C$2:C237,C237)=1,1,0))</f>
        <v>1</v>
      </c>
    </row>
    <row r="238" spans="1:6" x14ac:dyDescent="0.2">
      <c r="A238" t="s">
        <v>506</v>
      </c>
      <c r="B238" t="s">
        <v>1063</v>
      </c>
      <c r="C238" t="s">
        <v>1263</v>
      </c>
      <c r="E238" s="1">
        <f>IF(COUNTIFS($A$2:A238,A238,$B$2:B238,B238)=1,1,0)</f>
        <v>1</v>
      </c>
      <c r="F238" s="1">
        <f>IF(C238="",0,IF(COUNTIFS($A$2:A238,A238,$B$2:B238,B238,$C$2:C238,C238)=1,1,0))</f>
        <v>1</v>
      </c>
    </row>
    <row r="239" spans="1:6" x14ac:dyDescent="0.2">
      <c r="A239" t="s">
        <v>509</v>
      </c>
      <c r="B239" t="s">
        <v>1059</v>
      </c>
      <c r="C239" t="s">
        <v>1246</v>
      </c>
      <c r="D239" t="s">
        <v>1260</v>
      </c>
      <c r="E239" s="1">
        <f>IF(COUNTIFS($A$2:A239,A239,$B$2:B239,B239)=1,1,0)</f>
        <v>1</v>
      </c>
      <c r="F239" s="1">
        <f>IF(C239="",0,IF(COUNTIFS($A$2:A239,A239,$B$2:B239,B239,$C$2:C239,C239)=1,1,0))</f>
        <v>1</v>
      </c>
    </row>
    <row r="240" spans="1:6" x14ac:dyDescent="0.2">
      <c r="A240" t="s">
        <v>513</v>
      </c>
      <c r="B240" t="s">
        <v>1061</v>
      </c>
      <c r="C240" t="s">
        <v>1249</v>
      </c>
      <c r="D240" t="s">
        <v>1250</v>
      </c>
      <c r="E240" s="1">
        <f>IF(COUNTIFS($A$2:A240,A240,$B$2:B240,B240)=1,1,0)</f>
        <v>1</v>
      </c>
      <c r="F240" s="1">
        <f>IF(C240="",0,IF(COUNTIFS($A$2:A240,A240,$B$2:B240,B240,$C$2:C240,C240)=1,1,0))</f>
        <v>1</v>
      </c>
    </row>
    <row r="241" spans="1:6" x14ac:dyDescent="0.2">
      <c r="A241" t="s">
        <v>513</v>
      </c>
      <c r="B241" t="s">
        <v>1059</v>
      </c>
      <c r="C241" t="s">
        <v>1265</v>
      </c>
      <c r="D241" t="s">
        <v>1271</v>
      </c>
      <c r="E241" s="1">
        <f>IF(COUNTIFS($A$2:A241,A241,$B$2:B241,B241)=1,1,0)</f>
        <v>1</v>
      </c>
      <c r="F241" s="1">
        <f>IF(C241="",0,IF(COUNTIFS($A$2:A241,A241,$B$2:B241,B241,$C$2:C241,C241)=1,1,0))</f>
        <v>1</v>
      </c>
    </row>
    <row r="242" spans="1:6" x14ac:dyDescent="0.2">
      <c r="A242" t="s">
        <v>516</v>
      </c>
      <c r="B242" t="s">
        <v>1063</v>
      </c>
      <c r="C242" t="s">
        <v>1259</v>
      </c>
      <c r="E242" s="1">
        <f>IF(COUNTIFS($A$2:A242,A242,$B$2:B242,B242)=1,1,0)</f>
        <v>1</v>
      </c>
      <c r="F242" s="1">
        <f>IF(C242="",0,IF(COUNTIFS($A$2:A242,A242,$B$2:B242,B242,$C$2:C242,C242)=1,1,0))</f>
        <v>1</v>
      </c>
    </row>
    <row r="243" spans="1:6" x14ac:dyDescent="0.2">
      <c r="A243" t="s">
        <v>516</v>
      </c>
      <c r="B243" t="s">
        <v>1059</v>
      </c>
      <c r="C243" t="s">
        <v>1255</v>
      </c>
      <c r="D243" t="s">
        <v>1256</v>
      </c>
      <c r="E243" s="1">
        <f>IF(COUNTIFS($A$2:A243,A243,$B$2:B243,B243)=1,1,0)</f>
        <v>1</v>
      </c>
      <c r="F243" s="1">
        <f>IF(C243="",0,IF(COUNTIFS($A$2:A243,A243,$B$2:B243,B243,$C$2:C243,C243)=1,1,0))</f>
        <v>1</v>
      </c>
    </row>
    <row r="244" spans="1:6" x14ac:dyDescent="0.2">
      <c r="A244" t="s">
        <v>519</v>
      </c>
      <c r="B244" t="s">
        <v>1061</v>
      </c>
      <c r="C244" t="s">
        <v>1249</v>
      </c>
      <c r="D244" t="s">
        <v>1278</v>
      </c>
      <c r="E244" s="1">
        <f>IF(COUNTIFS($A$2:A244,A244,$B$2:B244,B244)=1,1,0)</f>
        <v>1</v>
      </c>
      <c r="F244" s="1">
        <f>IF(C244="",0,IF(COUNTIFS($A$2:A244,A244,$B$2:B244,B244,$C$2:C244,C244)=1,1,0))</f>
        <v>1</v>
      </c>
    </row>
    <row r="245" spans="1:6" x14ac:dyDescent="0.2">
      <c r="A245" t="s">
        <v>519</v>
      </c>
      <c r="B245" t="s">
        <v>1061</v>
      </c>
      <c r="C245" t="s">
        <v>1249</v>
      </c>
      <c r="D245" t="s">
        <v>1257</v>
      </c>
      <c r="E245" s="1">
        <f>IF(COUNTIFS($A$2:A245,A245,$B$2:B245,B245)=1,1,0)</f>
        <v>0</v>
      </c>
      <c r="F245" s="1">
        <f>IF(C245="",0,IF(COUNTIFS($A$2:A245,A245,$B$2:B245,B245,$C$2:C245,C245)=1,1,0))</f>
        <v>0</v>
      </c>
    </row>
    <row r="246" spans="1:6" x14ac:dyDescent="0.2">
      <c r="A246" t="s">
        <v>519</v>
      </c>
      <c r="B246" t="s">
        <v>1059</v>
      </c>
      <c r="C246" t="s">
        <v>1261</v>
      </c>
      <c r="D246" t="s">
        <v>1272</v>
      </c>
      <c r="E246" s="1">
        <f>IF(COUNTIFS($A$2:A246,A246,$B$2:B246,B246)=1,1,0)</f>
        <v>1</v>
      </c>
      <c r="F246" s="1">
        <f>IF(C246="",0,IF(COUNTIFS($A$2:A246,A246,$B$2:B246,B246,$C$2:C246,C246)=1,1,0))</f>
        <v>1</v>
      </c>
    </row>
    <row r="247" spans="1:6" x14ac:dyDescent="0.2">
      <c r="A247" t="s">
        <v>523</v>
      </c>
      <c r="B247" t="s">
        <v>1063</v>
      </c>
      <c r="C247" t="s">
        <v>1259</v>
      </c>
      <c r="E247" s="1">
        <f>IF(COUNTIFS($A$2:A247,A247,$B$2:B247,B247)=1,1,0)</f>
        <v>1</v>
      </c>
      <c r="F247" s="1">
        <f>IF(C247="",0,IF(COUNTIFS($A$2:A247,A247,$B$2:B247,B247,$C$2:C247,C247)=1,1,0))</f>
        <v>1</v>
      </c>
    </row>
    <row r="248" spans="1:6" x14ac:dyDescent="0.2">
      <c r="A248" t="s">
        <v>525</v>
      </c>
      <c r="B248" t="s">
        <v>1059</v>
      </c>
      <c r="C248" t="s">
        <v>1265</v>
      </c>
      <c r="D248" t="s">
        <v>1271</v>
      </c>
      <c r="E248" s="1">
        <f>IF(COUNTIFS($A$2:A248,A248,$B$2:B248,B248)=1,1,0)</f>
        <v>1</v>
      </c>
      <c r="F248" s="1">
        <f>IF(C248="",0,IF(COUNTIFS($A$2:A248,A248,$B$2:B248,B248,$C$2:C248,C248)=1,1,0))</f>
        <v>1</v>
      </c>
    </row>
    <row r="249" spans="1:6" x14ac:dyDescent="0.2">
      <c r="A249" t="s">
        <v>530</v>
      </c>
      <c r="B249" t="s">
        <v>1061</v>
      </c>
      <c r="C249" t="s">
        <v>1249</v>
      </c>
      <c r="D249" t="s">
        <v>1267</v>
      </c>
      <c r="E249" s="1">
        <f>IF(COUNTIFS($A$2:A249,A249,$B$2:B249,B249)=1,1,0)</f>
        <v>1</v>
      </c>
      <c r="F249" s="1">
        <f>IF(C249="",0,IF(COUNTIFS($A$2:A249,A249,$B$2:B249,B249,$C$2:C249,C249)=1,1,0))</f>
        <v>1</v>
      </c>
    </row>
    <row r="250" spans="1:6" x14ac:dyDescent="0.2">
      <c r="A250" t="s">
        <v>533</v>
      </c>
      <c r="B250" t="s">
        <v>1061</v>
      </c>
      <c r="C250" t="s">
        <v>1249</v>
      </c>
      <c r="E250" s="1">
        <f>IF(COUNTIFS($A$2:A250,A250,$B$2:B250,B250)=1,1,0)</f>
        <v>1</v>
      </c>
      <c r="F250" s="1">
        <f>IF(C250="",0,IF(COUNTIFS($A$2:A250,A250,$B$2:B250,B250,$C$2:C250,C250)=1,1,0))</f>
        <v>1</v>
      </c>
    </row>
    <row r="251" spans="1:6" x14ac:dyDescent="0.2">
      <c r="A251" t="s">
        <v>533</v>
      </c>
      <c r="B251" t="s">
        <v>1063</v>
      </c>
      <c r="C251" t="s">
        <v>1259</v>
      </c>
      <c r="D251" t="s">
        <v>1274</v>
      </c>
      <c r="E251" s="1">
        <f>IF(COUNTIFS($A$2:A251,A251,$B$2:B251,B251)=1,1,0)</f>
        <v>1</v>
      </c>
      <c r="F251" s="1">
        <f>IF(C251="",0,IF(COUNTIFS($A$2:A251,A251,$B$2:B251,B251,$C$2:C251,C251)=1,1,0))</f>
        <v>1</v>
      </c>
    </row>
    <row r="252" spans="1:6" x14ac:dyDescent="0.2">
      <c r="A252" t="s">
        <v>533</v>
      </c>
      <c r="B252" t="s">
        <v>1059</v>
      </c>
      <c r="C252" t="s">
        <v>1244</v>
      </c>
      <c r="D252" t="s">
        <v>1245</v>
      </c>
      <c r="E252" s="1">
        <f>IF(COUNTIFS($A$2:A252,A252,$B$2:B252,B252)=1,1,0)</f>
        <v>1</v>
      </c>
      <c r="F252" s="1">
        <f>IF(C252="",0,IF(COUNTIFS($A$2:A252,A252,$B$2:B252,B252,$C$2:C252,C252)=1,1,0))</f>
        <v>1</v>
      </c>
    </row>
    <row r="253" spans="1:6" x14ac:dyDescent="0.2">
      <c r="A253" t="s">
        <v>537</v>
      </c>
      <c r="B253" t="s">
        <v>1060</v>
      </c>
      <c r="E253" s="1">
        <f>IF(COUNTIFS($A$2:A253,A253,$B$2:B253,B253)=1,1,0)</f>
        <v>1</v>
      </c>
      <c r="F253" s="1">
        <f>IF(C253="",0,IF(COUNTIFS($A$2:A253,A253,$B$2:B253,B253,$C$2:C253,C253)=1,1,0))</f>
        <v>0</v>
      </c>
    </row>
    <row r="254" spans="1:6" x14ac:dyDescent="0.2">
      <c r="A254" t="s">
        <v>539</v>
      </c>
      <c r="B254" t="s">
        <v>1063</v>
      </c>
      <c r="C254" t="s">
        <v>1263</v>
      </c>
      <c r="D254" t="s">
        <v>1264</v>
      </c>
      <c r="E254" s="1">
        <f>IF(COUNTIFS($A$2:A254,A254,$B$2:B254,B254)=1,1,0)</f>
        <v>1</v>
      </c>
      <c r="F254" s="1">
        <f>IF(C254="",0,IF(COUNTIFS($A$2:A254,A254,$B$2:B254,B254,$C$2:C254,C254)=1,1,0))</f>
        <v>1</v>
      </c>
    </row>
    <row r="255" spans="1:6" x14ac:dyDescent="0.2">
      <c r="A255" t="s">
        <v>542</v>
      </c>
      <c r="B255" t="s">
        <v>1059</v>
      </c>
      <c r="C255" t="s">
        <v>1265</v>
      </c>
      <c r="D255" t="s">
        <v>1271</v>
      </c>
      <c r="E255" s="1">
        <f>IF(COUNTIFS($A$2:A255,A255,$B$2:B255,B255)=1,1,0)</f>
        <v>1</v>
      </c>
      <c r="F255" s="1">
        <f>IF(C255="",0,IF(COUNTIFS($A$2:A255,A255,$B$2:B255,B255,$C$2:C255,C255)=1,1,0))</f>
        <v>1</v>
      </c>
    </row>
    <row r="256" spans="1:6" x14ac:dyDescent="0.2">
      <c r="A256" t="s">
        <v>542</v>
      </c>
      <c r="B256" t="s">
        <v>1061</v>
      </c>
      <c r="C256" t="s">
        <v>1249</v>
      </c>
      <c r="D256" t="s">
        <v>1250</v>
      </c>
      <c r="E256" s="1">
        <f>IF(COUNTIFS($A$2:A256,A256,$B$2:B256,B256)=1,1,0)</f>
        <v>1</v>
      </c>
      <c r="F256" s="1">
        <f>IF(C256="",0,IF(COUNTIFS($A$2:A256,A256,$B$2:B256,B256,$C$2:C256,C256)=1,1,0))</f>
        <v>1</v>
      </c>
    </row>
    <row r="257" spans="1:6" x14ac:dyDescent="0.2">
      <c r="A257" t="s">
        <v>545</v>
      </c>
      <c r="B257" t="s">
        <v>1063</v>
      </c>
      <c r="C257" t="s">
        <v>1263</v>
      </c>
      <c r="D257" t="s">
        <v>1264</v>
      </c>
      <c r="E257" s="1">
        <f>IF(COUNTIFS($A$2:A257,A257,$B$2:B257,B257)=1,1,0)</f>
        <v>1</v>
      </c>
      <c r="F257" s="1">
        <f>IF(C257="",0,IF(COUNTIFS($A$2:A257,A257,$B$2:B257,B257,$C$2:C257,C257)=1,1,0))</f>
        <v>1</v>
      </c>
    </row>
    <row r="258" spans="1:6" x14ac:dyDescent="0.2">
      <c r="A258" t="s">
        <v>545</v>
      </c>
      <c r="B258" t="s">
        <v>1063</v>
      </c>
      <c r="C258" t="s">
        <v>1259</v>
      </c>
      <c r="D258" t="s">
        <v>1274</v>
      </c>
      <c r="E258" s="1">
        <f>IF(COUNTIFS($A$2:A258,A258,$B$2:B258,B258)=1,1,0)</f>
        <v>0</v>
      </c>
      <c r="F258" s="1">
        <f>IF(C258="",0,IF(COUNTIFS($A$2:A258,A258,$B$2:B258,B258,$C$2:C258,C258)=1,1,0))</f>
        <v>1</v>
      </c>
    </row>
    <row r="259" spans="1:6" x14ac:dyDescent="0.2">
      <c r="A259" t="s">
        <v>548</v>
      </c>
      <c r="B259" t="s">
        <v>1059</v>
      </c>
      <c r="C259" t="s">
        <v>1253</v>
      </c>
      <c r="D259" t="s">
        <v>1254</v>
      </c>
      <c r="E259" s="1">
        <f>IF(COUNTIFS($A$2:A259,A259,$B$2:B259,B259)=1,1,0)</f>
        <v>1</v>
      </c>
      <c r="F259" s="1">
        <f>IF(C259="",0,IF(COUNTIFS($A$2:A259,A259,$B$2:B259,B259,$C$2:C259,C259)=1,1,0))</f>
        <v>1</v>
      </c>
    </row>
    <row r="260" spans="1:6" x14ac:dyDescent="0.2">
      <c r="A260" t="s">
        <v>551</v>
      </c>
      <c r="B260" t="s">
        <v>1059</v>
      </c>
      <c r="C260" t="s">
        <v>1265</v>
      </c>
      <c r="D260" t="s">
        <v>1271</v>
      </c>
      <c r="E260" s="1">
        <f>IF(COUNTIFS($A$2:A260,A260,$B$2:B260,B260)=1,1,0)</f>
        <v>1</v>
      </c>
      <c r="F260" s="1">
        <f>IF(C260="",0,IF(COUNTIFS($A$2:A260,A260,$B$2:B260,B260,$C$2:C260,C260)=1,1,0))</f>
        <v>1</v>
      </c>
    </row>
    <row r="261" spans="1:6" x14ac:dyDescent="0.2">
      <c r="A261" t="s">
        <v>551</v>
      </c>
      <c r="B261" t="s">
        <v>1059</v>
      </c>
      <c r="C261" t="s">
        <v>1246</v>
      </c>
      <c r="D261" t="s">
        <v>1260</v>
      </c>
      <c r="E261" s="1">
        <f>IF(COUNTIFS($A$2:A261,A261,$B$2:B261,B261)=1,1,0)</f>
        <v>0</v>
      </c>
      <c r="F261" s="1">
        <f>IF(C261="",0,IF(COUNTIFS($A$2:A261,A261,$B$2:B261,B261,$C$2:C261,C261)=1,1,0))</f>
        <v>1</v>
      </c>
    </row>
    <row r="262" spans="1:6" x14ac:dyDescent="0.2">
      <c r="A262" t="s">
        <v>555</v>
      </c>
      <c r="B262" t="s">
        <v>1061</v>
      </c>
      <c r="C262" t="s">
        <v>1249</v>
      </c>
      <c r="E262" s="1">
        <f>IF(COUNTIFS($A$2:A262,A262,$B$2:B262,B262)=1,1,0)</f>
        <v>1</v>
      </c>
      <c r="F262" s="1">
        <f>IF(C262="",0,IF(COUNTIFS($A$2:A262,A262,$B$2:B262,B262,$C$2:C262,C262)=1,1,0))</f>
        <v>1</v>
      </c>
    </row>
    <row r="263" spans="1:6" x14ac:dyDescent="0.2">
      <c r="A263" t="s">
        <v>558</v>
      </c>
      <c r="B263" t="s">
        <v>1059</v>
      </c>
      <c r="C263" t="s">
        <v>1244</v>
      </c>
      <c r="D263" t="s">
        <v>1245</v>
      </c>
      <c r="E263" s="1">
        <f>IF(COUNTIFS($A$2:A263,A263,$B$2:B263,B263)=1,1,0)</f>
        <v>1</v>
      </c>
      <c r="F263" s="1">
        <f>IF(C263="",0,IF(COUNTIFS($A$2:A263,A263,$B$2:B263,B263,$C$2:C263,C263)=1,1,0))</f>
        <v>1</v>
      </c>
    </row>
    <row r="264" spans="1:6" x14ac:dyDescent="0.2">
      <c r="A264" t="s">
        <v>558</v>
      </c>
      <c r="B264" t="s">
        <v>1059</v>
      </c>
      <c r="C264" t="s">
        <v>1261</v>
      </c>
      <c r="D264" t="s">
        <v>1275</v>
      </c>
      <c r="E264" s="1">
        <f>IF(COUNTIFS($A$2:A264,A264,$B$2:B264,B264)=1,1,0)</f>
        <v>0</v>
      </c>
      <c r="F264" s="1">
        <f>IF(C264="",0,IF(COUNTIFS($A$2:A264,A264,$B$2:B264,B264,$C$2:C264,C264)=1,1,0))</f>
        <v>1</v>
      </c>
    </row>
    <row r="265" spans="1:6" x14ac:dyDescent="0.2">
      <c r="A265" t="s">
        <v>562</v>
      </c>
      <c r="B265" t="s">
        <v>1061</v>
      </c>
      <c r="C265" t="s">
        <v>1249</v>
      </c>
      <c r="D265" t="s">
        <v>1250</v>
      </c>
      <c r="E265" s="1">
        <f>IF(COUNTIFS($A$2:A265,A265,$B$2:B265,B265)=1,1,0)</f>
        <v>1</v>
      </c>
      <c r="F265" s="1">
        <f>IF(C265="",0,IF(COUNTIFS($A$2:A265,A265,$B$2:B265,B265,$C$2:C265,C265)=1,1,0))</f>
        <v>1</v>
      </c>
    </row>
    <row r="266" spans="1:6" x14ac:dyDescent="0.2">
      <c r="A266" t="s">
        <v>562</v>
      </c>
      <c r="B266" t="s">
        <v>1059</v>
      </c>
      <c r="C266" t="s">
        <v>1265</v>
      </c>
      <c r="D266" t="s">
        <v>1266</v>
      </c>
      <c r="E266" s="1">
        <f>IF(COUNTIFS($A$2:A266,A266,$B$2:B266,B266)=1,1,0)</f>
        <v>1</v>
      </c>
      <c r="F266" s="1">
        <f>IF(C266="",0,IF(COUNTIFS($A$2:A266,A266,$B$2:B266,B266,$C$2:C266,C266)=1,1,0))</f>
        <v>1</v>
      </c>
    </row>
    <row r="267" spans="1:6" x14ac:dyDescent="0.2">
      <c r="A267" t="s">
        <v>567</v>
      </c>
      <c r="B267" t="s">
        <v>1059</v>
      </c>
      <c r="C267" t="s">
        <v>1246</v>
      </c>
      <c r="D267" t="s">
        <v>1247</v>
      </c>
      <c r="E267" s="1">
        <f>IF(COUNTIFS($A$2:A267,A267,$B$2:B267,B267)=1,1,0)</f>
        <v>1</v>
      </c>
      <c r="F267" s="1">
        <f>IF(C267="",0,IF(COUNTIFS($A$2:A267,A267,$B$2:B267,B267,$C$2:C267,C267)=1,1,0))</f>
        <v>1</v>
      </c>
    </row>
    <row r="268" spans="1:6" x14ac:dyDescent="0.2">
      <c r="A268" t="s">
        <v>567</v>
      </c>
      <c r="B268" t="s">
        <v>1059</v>
      </c>
      <c r="C268" t="s">
        <v>1244</v>
      </c>
      <c r="D268" t="s">
        <v>1245</v>
      </c>
      <c r="E268" s="1">
        <f>IF(COUNTIFS($A$2:A268,A268,$B$2:B268,B268)=1,1,0)</f>
        <v>0</v>
      </c>
      <c r="F268" s="1">
        <f>IF(C268="",0,IF(COUNTIFS($A$2:A268,A268,$B$2:B268,B268,$C$2:C268,C268)=1,1,0))</f>
        <v>1</v>
      </c>
    </row>
    <row r="269" spans="1:6" x14ac:dyDescent="0.2">
      <c r="A269" t="s">
        <v>572</v>
      </c>
      <c r="B269" t="s">
        <v>1061</v>
      </c>
      <c r="C269" t="s">
        <v>1249</v>
      </c>
      <c r="D269" t="s">
        <v>1250</v>
      </c>
      <c r="E269" s="1">
        <f>IF(COUNTIFS($A$2:A269,A269,$B$2:B269,B269)=1,1,0)</f>
        <v>1</v>
      </c>
      <c r="F269" s="1">
        <f>IF(C269="",0,IF(COUNTIFS($A$2:A269,A269,$B$2:B269,B269,$C$2:C269,C269)=1,1,0))</f>
        <v>1</v>
      </c>
    </row>
    <row r="270" spans="1:6" x14ac:dyDescent="0.2">
      <c r="A270" t="s">
        <v>575</v>
      </c>
      <c r="B270" t="s">
        <v>1063</v>
      </c>
      <c r="C270" t="s">
        <v>1259</v>
      </c>
      <c r="E270" s="1">
        <f>IF(COUNTIFS($A$2:A270,A270,$B$2:B270,B270)=1,1,0)</f>
        <v>1</v>
      </c>
      <c r="F270" s="1">
        <f>IF(C270="",0,IF(COUNTIFS($A$2:A270,A270,$B$2:B270,B270,$C$2:C270,C270)=1,1,0))</f>
        <v>1</v>
      </c>
    </row>
    <row r="271" spans="1:6" x14ac:dyDescent="0.2">
      <c r="A271" t="s">
        <v>577</v>
      </c>
      <c r="B271" t="s">
        <v>1061</v>
      </c>
      <c r="C271" t="s">
        <v>1248</v>
      </c>
      <c r="E271" s="1">
        <f>IF(COUNTIFS($A$2:A271,A271,$B$2:B271,B271)=1,1,0)</f>
        <v>1</v>
      </c>
      <c r="F271" s="1">
        <f>IF(C271="",0,IF(COUNTIFS($A$2:A271,A271,$B$2:B271,B271,$C$2:C271,C271)=1,1,0))</f>
        <v>1</v>
      </c>
    </row>
    <row r="272" spans="1:6" x14ac:dyDescent="0.2">
      <c r="A272" t="s">
        <v>581</v>
      </c>
      <c r="B272" t="s">
        <v>1060</v>
      </c>
      <c r="E272" s="1">
        <f>IF(COUNTIFS($A$2:A272,A272,$B$2:B272,B272)=1,1,0)</f>
        <v>1</v>
      </c>
      <c r="F272" s="1">
        <f>IF(C272="",0,IF(COUNTIFS($A$2:A272,A272,$B$2:B272,B272,$C$2:C272,C272)=1,1,0))</f>
        <v>0</v>
      </c>
    </row>
    <row r="273" spans="1:6" x14ac:dyDescent="0.2">
      <c r="A273" t="s">
        <v>584</v>
      </c>
      <c r="B273" t="s">
        <v>1059</v>
      </c>
      <c r="C273" t="s">
        <v>1261</v>
      </c>
      <c r="E273" s="1">
        <f>IF(COUNTIFS($A$2:A273,A273,$B$2:B273,B273)=1,1,0)</f>
        <v>1</v>
      </c>
      <c r="F273" s="1">
        <f>IF(C273="",0,IF(COUNTIFS($A$2:A273,A273,$B$2:B273,B273,$C$2:C273,C273)=1,1,0))</f>
        <v>1</v>
      </c>
    </row>
    <row r="274" spans="1:6" x14ac:dyDescent="0.2">
      <c r="A274" t="s">
        <v>588</v>
      </c>
      <c r="B274" t="s">
        <v>1060</v>
      </c>
      <c r="E274" s="1">
        <f>IF(COUNTIFS($A$2:A274,A274,$B$2:B274,B274)=1,1,0)</f>
        <v>1</v>
      </c>
      <c r="F274" s="1">
        <f>IF(C274="",0,IF(COUNTIFS($A$2:A274,A274,$B$2:B274,B274,$C$2:C274,C274)=1,1,0))</f>
        <v>0</v>
      </c>
    </row>
    <row r="275" spans="1:6" x14ac:dyDescent="0.2">
      <c r="A275" t="s">
        <v>591</v>
      </c>
      <c r="B275" t="s">
        <v>1063</v>
      </c>
      <c r="C275" t="s">
        <v>1251</v>
      </c>
      <c r="D275" t="s">
        <v>1258</v>
      </c>
      <c r="E275" s="1">
        <f>IF(COUNTIFS($A$2:A275,A275,$B$2:B275,B275)=1,1,0)</f>
        <v>1</v>
      </c>
      <c r="F275" s="1">
        <f>IF(C275="",0,IF(COUNTIFS($A$2:A275,A275,$B$2:B275,B275,$C$2:C275,C275)=1,1,0))</f>
        <v>1</v>
      </c>
    </row>
    <row r="276" spans="1:6" x14ac:dyDescent="0.2">
      <c r="A276" t="s">
        <v>591</v>
      </c>
      <c r="B276" t="s">
        <v>1063</v>
      </c>
      <c r="C276" t="s">
        <v>1259</v>
      </c>
      <c r="E276" s="1">
        <f>IF(COUNTIFS($A$2:A276,A276,$B$2:B276,B276)=1,1,0)</f>
        <v>0</v>
      </c>
      <c r="F276" s="1">
        <f>IF(C276="",0,IF(COUNTIFS($A$2:A276,A276,$B$2:B276,B276,$C$2:C276,C276)=1,1,0))</f>
        <v>1</v>
      </c>
    </row>
    <row r="277" spans="1:6" x14ac:dyDescent="0.2">
      <c r="A277" t="s">
        <v>591</v>
      </c>
      <c r="B277" t="s">
        <v>1063</v>
      </c>
      <c r="C277" t="s">
        <v>1263</v>
      </c>
      <c r="D277" t="s">
        <v>1264</v>
      </c>
      <c r="E277" s="1">
        <f>IF(COUNTIFS($A$2:A277,A277,$B$2:B277,B277)=1,1,0)</f>
        <v>0</v>
      </c>
      <c r="F277" s="1">
        <f>IF(C277="",0,IF(COUNTIFS($A$2:A277,A277,$B$2:B277,B277,$C$2:C277,C277)=1,1,0))</f>
        <v>1</v>
      </c>
    </row>
    <row r="278" spans="1:6" x14ac:dyDescent="0.2">
      <c r="A278" t="s">
        <v>595</v>
      </c>
      <c r="B278" t="s">
        <v>1059</v>
      </c>
      <c r="C278" t="s">
        <v>1265</v>
      </c>
      <c r="D278" t="s">
        <v>1266</v>
      </c>
      <c r="E278" s="1">
        <f>IF(COUNTIFS($A$2:A278,A278,$B$2:B278,B278)=1,1,0)</f>
        <v>1</v>
      </c>
      <c r="F278" s="1">
        <f>IF(C278="",0,IF(COUNTIFS($A$2:A278,A278,$B$2:B278,B278,$C$2:C278,C278)=1,1,0))</f>
        <v>1</v>
      </c>
    </row>
    <row r="279" spans="1:6" x14ac:dyDescent="0.2">
      <c r="A279" t="s">
        <v>598</v>
      </c>
      <c r="B279" t="s">
        <v>1059</v>
      </c>
      <c r="C279" t="s">
        <v>1265</v>
      </c>
      <c r="D279" t="s">
        <v>1266</v>
      </c>
      <c r="E279" s="1">
        <f>IF(COUNTIFS($A$2:A279,A279,$B$2:B279,B279)=1,1,0)</f>
        <v>1</v>
      </c>
      <c r="F279" s="1">
        <f>IF(C279="",0,IF(COUNTIFS($A$2:A279,A279,$B$2:B279,B279,$C$2:C279,C279)=1,1,0))</f>
        <v>1</v>
      </c>
    </row>
    <row r="280" spans="1:6" x14ac:dyDescent="0.2">
      <c r="A280" t="s">
        <v>598</v>
      </c>
      <c r="B280" t="s">
        <v>1059</v>
      </c>
      <c r="C280" t="s">
        <v>1265</v>
      </c>
      <c r="D280" t="s">
        <v>1271</v>
      </c>
      <c r="E280" s="1">
        <f>IF(COUNTIFS($A$2:A280,A280,$B$2:B280,B280)=1,1,0)</f>
        <v>0</v>
      </c>
      <c r="F280" s="1">
        <f>IF(C280="",0,IF(COUNTIFS($A$2:A280,A280,$B$2:B280,B280,$C$2:C280,C280)=1,1,0))</f>
        <v>0</v>
      </c>
    </row>
    <row r="281" spans="1:6" x14ac:dyDescent="0.2">
      <c r="A281" t="s">
        <v>601</v>
      </c>
      <c r="B281" t="s">
        <v>1063</v>
      </c>
      <c r="C281" t="s">
        <v>1259</v>
      </c>
      <c r="E281" s="1">
        <f>IF(COUNTIFS($A$2:A281,A281,$B$2:B281,B281)=1,1,0)</f>
        <v>1</v>
      </c>
      <c r="F281" s="1">
        <f>IF(C281="",0,IF(COUNTIFS($A$2:A281,A281,$B$2:B281,B281,$C$2:C281,C281)=1,1,0))</f>
        <v>1</v>
      </c>
    </row>
    <row r="282" spans="1:6" x14ac:dyDescent="0.2">
      <c r="A282" t="s">
        <v>605</v>
      </c>
      <c r="B282" t="s">
        <v>1061</v>
      </c>
      <c r="E282" s="1">
        <f>IF(COUNTIFS($A$2:A282,A282,$B$2:B282,B282)=1,1,0)</f>
        <v>1</v>
      </c>
      <c r="F282" s="1">
        <f>IF(C282="",0,IF(COUNTIFS($A$2:A282,A282,$B$2:B282,B282,$C$2:C282,C282)=1,1,0))</f>
        <v>0</v>
      </c>
    </row>
    <row r="283" spans="1:6" x14ac:dyDescent="0.2">
      <c r="A283" t="s">
        <v>605</v>
      </c>
      <c r="B283" t="s">
        <v>1063</v>
      </c>
      <c r="C283" t="s">
        <v>1251</v>
      </c>
      <c r="D283" t="s">
        <v>1252</v>
      </c>
      <c r="E283" s="1">
        <f>IF(COUNTIFS($A$2:A283,A283,$B$2:B283,B283)=1,1,0)</f>
        <v>1</v>
      </c>
      <c r="F283" s="1">
        <f>IF(C283="",0,IF(COUNTIFS($A$2:A283,A283,$B$2:B283,B283,$C$2:C283,C283)=1,1,0))</f>
        <v>1</v>
      </c>
    </row>
    <row r="284" spans="1:6" x14ac:dyDescent="0.2">
      <c r="A284" t="s">
        <v>605</v>
      </c>
      <c r="B284" t="s">
        <v>1059</v>
      </c>
      <c r="C284" t="s">
        <v>1265</v>
      </c>
      <c r="D284" t="s">
        <v>1266</v>
      </c>
      <c r="E284" s="1">
        <f>IF(COUNTIFS($A$2:A284,A284,$B$2:B284,B284)=1,1,0)</f>
        <v>1</v>
      </c>
      <c r="F284" s="1">
        <f>IF(C284="",0,IF(COUNTIFS($A$2:A284,A284,$B$2:B284,B284,$C$2:C284,C284)=1,1,0))</f>
        <v>1</v>
      </c>
    </row>
    <row r="285" spans="1:6" x14ac:dyDescent="0.2">
      <c r="A285" t="s">
        <v>609</v>
      </c>
      <c r="B285" t="s">
        <v>1059</v>
      </c>
      <c r="C285" t="s">
        <v>1265</v>
      </c>
      <c r="D285" t="s">
        <v>1266</v>
      </c>
      <c r="E285" s="1">
        <f>IF(COUNTIFS($A$2:A285,A285,$B$2:B285,B285)=1,1,0)</f>
        <v>1</v>
      </c>
      <c r="F285" s="1">
        <f>IF(C285="",0,IF(COUNTIFS($A$2:A285,A285,$B$2:B285,B285,$C$2:C285,C285)=1,1,0))</f>
        <v>1</v>
      </c>
    </row>
    <row r="286" spans="1:6" x14ac:dyDescent="0.2">
      <c r="A286" t="s">
        <v>613</v>
      </c>
      <c r="B286" t="s">
        <v>1061</v>
      </c>
      <c r="C286" t="s">
        <v>1249</v>
      </c>
      <c r="D286" t="s">
        <v>1278</v>
      </c>
      <c r="E286" s="1">
        <f>IF(COUNTIFS($A$2:A286,A286,$B$2:B286,B286)=1,1,0)</f>
        <v>1</v>
      </c>
      <c r="F286" s="1">
        <f>IF(C286="",0,IF(COUNTIFS($A$2:A286,A286,$B$2:B286,B286,$C$2:C286,C286)=1,1,0))</f>
        <v>1</v>
      </c>
    </row>
    <row r="287" spans="1:6" x14ac:dyDescent="0.2">
      <c r="A287" t="s">
        <v>613</v>
      </c>
      <c r="B287" t="s">
        <v>1059</v>
      </c>
      <c r="C287" t="s">
        <v>1253</v>
      </c>
      <c r="D287" t="s">
        <v>1254</v>
      </c>
      <c r="E287" s="1">
        <f>IF(COUNTIFS($A$2:A287,A287,$B$2:B287,B287)=1,1,0)</f>
        <v>1</v>
      </c>
      <c r="F287" s="1">
        <f>IF(C287="",0,IF(COUNTIFS($A$2:A287,A287,$B$2:B287,B287,$C$2:C287,C287)=1,1,0))</f>
        <v>1</v>
      </c>
    </row>
    <row r="288" spans="1:6" x14ac:dyDescent="0.2">
      <c r="A288" t="s">
        <v>616</v>
      </c>
      <c r="B288" t="s">
        <v>1063</v>
      </c>
      <c r="C288" t="s">
        <v>1263</v>
      </c>
      <c r="D288" t="s">
        <v>1264</v>
      </c>
      <c r="E288" s="1">
        <f>IF(COUNTIFS($A$2:A288,A288,$B$2:B288,B288)=1,1,0)</f>
        <v>1</v>
      </c>
      <c r="F288" s="1">
        <f>IF(C288="",0,IF(COUNTIFS($A$2:A288,A288,$B$2:B288,B288,$C$2:C288,C288)=1,1,0))</f>
        <v>1</v>
      </c>
    </row>
    <row r="289" spans="1:6" x14ac:dyDescent="0.2">
      <c r="A289" t="s">
        <v>616</v>
      </c>
      <c r="B289" t="s">
        <v>1063</v>
      </c>
      <c r="C289" t="s">
        <v>1251</v>
      </c>
      <c r="D289" t="s">
        <v>1252</v>
      </c>
      <c r="E289" s="1">
        <f>IF(COUNTIFS($A$2:A289,A289,$B$2:B289,B289)=1,1,0)</f>
        <v>0</v>
      </c>
      <c r="F289" s="1">
        <f>IF(C289="",0,IF(COUNTIFS($A$2:A289,A289,$B$2:B289,B289,$C$2:C289,C289)=1,1,0))</f>
        <v>1</v>
      </c>
    </row>
    <row r="290" spans="1:6" x14ac:dyDescent="0.2">
      <c r="A290" t="s">
        <v>616</v>
      </c>
      <c r="B290" t="s">
        <v>1063</v>
      </c>
      <c r="C290" t="s">
        <v>1259</v>
      </c>
      <c r="D290" t="s">
        <v>1279</v>
      </c>
      <c r="E290" s="1">
        <f>IF(COUNTIFS($A$2:A290,A290,$B$2:B290,B290)=1,1,0)</f>
        <v>0</v>
      </c>
      <c r="F290" s="1">
        <f>IF(C290="",0,IF(COUNTIFS($A$2:A290,A290,$B$2:B290,B290,$C$2:C290,C290)=1,1,0))</f>
        <v>1</v>
      </c>
    </row>
    <row r="291" spans="1:6" x14ac:dyDescent="0.2">
      <c r="A291" t="s">
        <v>619</v>
      </c>
      <c r="B291" t="s">
        <v>1063</v>
      </c>
      <c r="C291" t="s">
        <v>1251</v>
      </c>
      <c r="D291" t="s">
        <v>1252</v>
      </c>
      <c r="E291" s="1">
        <f>IF(COUNTIFS($A$2:A291,A291,$B$2:B291,B291)=1,1,0)</f>
        <v>1</v>
      </c>
      <c r="F291" s="1">
        <f>IF(C291="",0,IF(COUNTIFS($A$2:A291,A291,$B$2:B291,B291,$C$2:C291,C291)=1,1,0))</f>
        <v>1</v>
      </c>
    </row>
    <row r="292" spans="1:6" x14ac:dyDescent="0.2">
      <c r="A292" t="s">
        <v>619</v>
      </c>
      <c r="B292" t="s">
        <v>1059</v>
      </c>
      <c r="C292" t="s">
        <v>1246</v>
      </c>
      <c r="D292" t="s">
        <v>1247</v>
      </c>
      <c r="E292" s="1">
        <f>IF(COUNTIFS($A$2:A292,A292,$B$2:B292,B292)=1,1,0)</f>
        <v>1</v>
      </c>
      <c r="F292" s="1">
        <f>IF(C292="",0,IF(COUNTIFS($A$2:A292,A292,$B$2:B292,B292,$C$2:C292,C292)=1,1,0))</f>
        <v>1</v>
      </c>
    </row>
    <row r="293" spans="1:6" x14ac:dyDescent="0.2">
      <c r="A293" t="s">
        <v>619</v>
      </c>
      <c r="B293" t="s">
        <v>1059</v>
      </c>
      <c r="C293" t="s">
        <v>1265</v>
      </c>
      <c r="D293" t="s">
        <v>1271</v>
      </c>
      <c r="E293" s="1">
        <f>IF(COUNTIFS($A$2:A293,A293,$B$2:B293,B293)=1,1,0)</f>
        <v>0</v>
      </c>
      <c r="F293" s="1">
        <f>IF(C293="",0,IF(COUNTIFS($A$2:A293,A293,$B$2:B293,B293,$C$2:C293,C293)=1,1,0))</f>
        <v>1</v>
      </c>
    </row>
    <row r="294" spans="1:6" x14ac:dyDescent="0.2">
      <c r="A294" t="s">
        <v>623</v>
      </c>
      <c r="B294" t="s">
        <v>1060</v>
      </c>
      <c r="E294" s="1">
        <f>IF(COUNTIFS($A$2:A294,A294,$B$2:B294,B294)=1,1,0)</f>
        <v>1</v>
      </c>
      <c r="F294" s="1">
        <f>IF(C294="",0,IF(COUNTIFS($A$2:A294,A294,$B$2:B294,B294,$C$2:C294,C294)=1,1,0))</f>
        <v>0</v>
      </c>
    </row>
    <row r="295" spans="1:6" x14ac:dyDescent="0.2">
      <c r="A295" t="s">
        <v>627</v>
      </c>
      <c r="B295" t="s">
        <v>1063</v>
      </c>
      <c r="C295" t="s">
        <v>1259</v>
      </c>
      <c r="D295" t="s">
        <v>1274</v>
      </c>
      <c r="E295" s="1">
        <f>IF(COUNTIFS($A$2:A295,A295,$B$2:B295,B295)=1,1,0)</f>
        <v>1</v>
      </c>
      <c r="F295" s="1">
        <f>IF(C295="",0,IF(COUNTIFS($A$2:A295,A295,$B$2:B295,B295,$C$2:C295,C295)=1,1,0))</f>
        <v>1</v>
      </c>
    </row>
    <row r="296" spans="1:6" x14ac:dyDescent="0.2">
      <c r="A296" t="s">
        <v>627</v>
      </c>
      <c r="B296" t="s">
        <v>1059</v>
      </c>
      <c r="C296" t="s">
        <v>1265</v>
      </c>
      <c r="D296" t="s">
        <v>1271</v>
      </c>
      <c r="E296" s="1">
        <f>IF(COUNTIFS($A$2:A296,A296,$B$2:B296,B296)=1,1,0)</f>
        <v>1</v>
      </c>
      <c r="F296" s="1">
        <f>IF(C296="",0,IF(COUNTIFS($A$2:A296,A296,$B$2:B296,B296,$C$2:C296,C296)=1,1,0))</f>
        <v>1</v>
      </c>
    </row>
    <row r="297" spans="1:6" x14ac:dyDescent="0.2">
      <c r="A297" t="s">
        <v>627</v>
      </c>
      <c r="B297" t="s">
        <v>1059</v>
      </c>
      <c r="C297" t="s">
        <v>1261</v>
      </c>
      <c r="D297" t="s">
        <v>1273</v>
      </c>
      <c r="E297" s="1">
        <f>IF(COUNTIFS($A$2:A297,A297,$B$2:B297,B297)=1,1,0)</f>
        <v>0</v>
      </c>
      <c r="F297" s="1">
        <f>IF(C297="",0,IF(COUNTIFS($A$2:A297,A297,$B$2:B297,B297,$C$2:C297,C297)=1,1,0))</f>
        <v>1</v>
      </c>
    </row>
    <row r="298" spans="1:6" x14ac:dyDescent="0.2">
      <c r="A298" t="s">
        <v>631</v>
      </c>
      <c r="B298" t="s">
        <v>1063</v>
      </c>
      <c r="C298" t="s">
        <v>1251</v>
      </c>
      <c r="D298" t="s">
        <v>1252</v>
      </c>
      <c r="E298" s="1">
        <f>IF(COUNTIFS($A$2:A298,A298,$B$2:B298,B298)=1,1,0)</f>
        <v>1</v>
      </c>
      <c r="F298" s="1">
        <f>IF(C298="",0,IF(COUNTIFS($A$2:A298,A298,$B$2:B298,B298,$C$2:C298,C298)=1,1,0))</f>
        <v>1</v>
      </c>
    </row>
    <row r="299" spans="1:6" x14ac:dyDescent="0.2">
      <c r="A299" t="s">
        <v>631</v>
      </c>
      <c r="B299" t="s">
        <v>1059</v>
      </c>
      <c r="C299" t="s">
        <v>1265</v>
      </c>
      <c r="D299" t="s">
        <v>1266</v>
      </c>
      <c r="E299" s="1">
        <f>IF(COUNTIFS($A$2:A299,A299,$B$2:B299,B299)=1,1,0)</f>
        <v>1</v>
      </c>
      <c r="F299" s="1">
        <f>IF(C299="",0,IF(COUNTIFS($A$2:A299,A299,$B$2:B299,B299,$C$2:C299,C299)=1,1,0))</f>
        <v>1</v>
      </c>
    </row>
    <row r="300" spans="1:6" x14ac:dyDescent="0.2">
      <c r="A300" t="s">
        <v>634</v>
      </c>
      <c r="B300" t="s">
        <v>1061</v>
      </c>
      <c r="C300" t="s">
        <v>1249</v>
      </c>
      <c r="D300" t="s">
        <v>1278</v>
      </c>
      <c r="E300" s="1">
        <f>IF(COUNTIFS($A$2:A300,A300,$B$2:B300,B300)=1,1,0)</f>
        <v>1</v>
      </c>
      <c r="F300" s="1">
        <f>IF(C300="",0,IF(COUNTIFS($A$2:A300,A300,$B$2:B300,B300,$C$2:C300,C300)=1,1,0))</f>
        <v>1</v>
      </c>
    </row>
    <row r="301" spans="1:6" x14ac:dyDescent="0.2">
      <c r="A301" t="s">
        <v>637</v>
      </c>
      <c r="B301" t="s">
        <v>1063</v>
      </c>
      <c r="C301" t="s">
        <v>1259</v>
      </c>
      <c r="D301" t="s">
        <v>1274</v>
      </c>
      <c r="E301" s="1">
        <f>IF(COUNTIFS($A$2:A301,A301,$B$2:B301,B301)=1,1,0)</f>
        <v>1</v>
      </c>
      <c r="F301" s="1">
        <f>IF(C301="",0,IF(COUNTIFS($A$2:A301,A301,$B$2:B301,B301,$C$2:C301,C301)=1,1,0))</f>
        <v>1</v>
      </c>
    </row>
    <row r="302" spans="1:6" x14ac:dyDescent="0.2">
      <c r="A302" t="s">
        <v>637</v>
      </c>
      <c r="B302" t="s">
        <v>1063</v>
      </c>
      <c r="C302" t="s">
        <v>1251</v>
      </c>
      <c r="D302" t="s">
        <v>1258</v>
      </c>
      <c r="E302" s="1">
        <f>IF(COUNTIFS($A$2:A302,A302,$B$2:B302,B302)=1,1,0)</f>
        <v>0</v>
      </c>
      <c r="F302" s="1">
        <f>IF(C302="",0,IF(COUNTIFS($A$2:A302,A302,$B$2:B302,B302,$C$2:C302,C302)=1,1,0))</f>
        <v>1</v>
      </c>
    </row>
    <row r="303" spans="1:6" x14ac:dyDescent="0.2">
      <c r="A303" t="s">
        <v>641</v>
      </c>
      <c r="B303" t="s">
        <v>1059</v>
      </c>
      <c r="C303" t="s">
        <v>1265</v>
      </c>
      <c r="D303" t="s">
        <v>1271</v>
      </c>
      <c r="E303" s="1">
        <f>IF(COUNTIFS($A$2:A303,A303,$B$2:B303,B303)=1,1,0)</f>
        <v>1</v>
      </c>
      <c r="F303" s="1">
        <f>IF(C303="",0,IF(COUNTIFS($A$2:A303,A303,$B$2:B303,B303,$C$2:C303,C303)=1,1,0))</f>
        <v>1</v>
      </c>
    </row>
    <row r="304" spans="1:6" x14ac:dyDescent="0.2">
      <c r="A304" t="s">
        <v>641</v>
      </c>
      <c r="B304" t="s">
        <v>1059</v>
      </c>
      <c r="C304" t="s">
        <v>1265</v>
      </c>
      <c r="D304" t="s">
        <v>1266</v>
      </c>
      <c r="E304" s="1">
        <f>IF(COUNTIFS($A$2:A304,A304,$B$2:B304,B304)=1,1,0)</f>
        <v>0</v>
      </c>
      <c r="F304" s="1">
        <f>IF(C304="",0,IF(COUNTIFS($A$2:A304,A304,$B$2:B304,B304,$C$2:C304,C304)=1,1,0))</f>
        <v>0</v>
      </c>
    </row>
    <row r="305" spans="1:6" x14ac:dyDescent="0.2">
      <c r="A305" t="s">
        <v>644</v>
      </c>
      <c r="B305" t="s">
        <v>1063</v>
      </c>
      <c r="C305" t="s">
        <v>1263</v>
      </c>
      <c r="D305" t="s">
        <v>1264</v>
      </c>
      <c r="E305" s="1">
        <f>IF(COUNTIFS($A$2:A305,A305,$B$2:B305,B305)=1,1,0)</f>
        <v>1</v>
      </c>
      <c r="F305" s="1">
        <f>IF(C305="",0,IF(COUNTIFS($A$2:A305,A305,$B$2:B305,B305,$C$2:C305,C305)=1,1,0))</f>
        <v>1</v>
      </c>
    </row>
    <row r="306" spans="1:6" x14ac:dyDescent="0.2">
      <c r="A306" t="s">
        <v>644</v>
      </c>
      <c r="B306" t="s">
        <v>1063</v>
      </c>
      <c r="C306" t="s">
        <v>1251</v>
      </c>
      <c r="D306" t="s">
        <v>1276</v>
      </c>
      <c r="E306" s="1">
        <f>IF(COUNTIFS($A$2:A306,A306,$B$2:B306,B306)=1,1,0)</f>
        <v>0</v>
      </c>
      <c r="F306" s="1">
        <f>IF(C306="",0,IF(COUNTIFS($A$2:A306,A306,$B$2:B306,B306,$C$2:C306,C306)=1,1,0))</f>
        <v>1</v>
      </c>
    </row>
    <row r="307" spans="1:6" x14ac:dyDescent="0.2">
      <c r="A307" t="s">
        <v>644</v>
      </c>
      <c r="B307" t="s">
        <v>1063</v>
      </c>
      <c r="C307" t="s">
        <v>1259</v>
      </c>
      <c r="E307" s="1">
        <f>IF(COUNTIFS($A$2:A307,A307,$B$2:B307,B307)=1,1,0)</f>
        <v>0</v>
      </c>
      <c r="F307" s="1">
        <f>IF(C307="",0,IF(COUNTIFS($A$2:A307,A307,$B$2:B307,B307,$C$2:C307,C307)=1,1,0))</f>
        <v>1</v>
      </c>
    </row>
    <row r="308" spans="1:6" x14ac:dyDescent="0.2">
      <c r="A308" t="s">
        <v>647</v>
      </c>
      <c r="B308" t="s">
        <v>1063</v>
      </c>
      <c r="C308" t="s">
        <v>1263</v>
      </c>
      <c r="D308" t="s">
        <v>1264</v>
      </c>
      <c r="E308" s="1">
        <f>IF(COUNTIFS($A$2:A308,A308,$B$2:B308,B308)=1,1,0)</f>
        <v>1</v>
      </c>
      <c r="F308" s="1">
        <f>IF(C308="",0,IF(COUNTIFS($A$2:A308,A308,$B$2:B308,B308,$C$2:C308,C308)=1,1,0))</f>
        <v>1</v>
      </c>
    </row>
    <row r="309" spans="1:6" x14ac:dyDescent="0.2">
      <c r="A309" t="s">
        <v>647</v>
      </c>
      <c r="B309" t="s">
        <v>1061</v>
      </c>
      <c r="C309" t="s">
        <v>1268</v>
      </c>
      <c r="D309" t="s">
        <v>1269</v>
      </c>
      <c r="E309" s="1">
        <f>IF(COUNTIFS($A$2:A309,A309,$B$2:B309,B309)=1,1,0)</f>
        <v>1</v>
      </c>
      <c r="F309" s="1">
        <f>IF(C309="",0,IF(COUNTIFS($A$2:A309,A309,$B$2:B309,B309,$C$2:C309,C309)=1,1,0))</f>
        <v>1</v>
      </c>
    </row>
    <row r="310" spans="1:6" x14ac:dyDescent="0.2">
      <c r="A310" t="s">
        <v>650</v>
      </c>
      <c r="B310" t="s">
        <v>1063</v>
      </c>
      <c r="C310" t="s">
        <v>1259</v>
      </c>
      <c r="D310" t="s">
        <v>1274</v>
      </c>
      <c r="E310" s="1">
        <f>IF(COUNTIFS($A$2:A310,A310,$B$2:B310,B310)=1,1,0)</f>
        <v>1</v>
      </c>
      <c r="F310" s="1">
        <f>IF(C310="",0,IF(COUNTIFS($A$2:A310,A310,$B$2:B310,B310,$C$2:C310,C310)=1,1,0))</f>
        <v>1</v>
      </c>
    </row>
    <row r="311" spans="1:6" x14ac:dyDescent="0.2">
      <c r="A311" t="s">
        <v>650</v>
      </c>
      <c r="B311" t="s">
        <v>1063</v>
      </c>
      <c r="C311" t="s">
        <v>1251</v>
      </c>
      <c r="D311" t="s">
        <v>1252</v>
      </c>
      <c r="E311" s="1">
        <f>IF(COUNTIFS($A$2:A311,A311,$B$2:B311,B311)=1,1,0)</f>
        <v>0</v>
      </c>
      <c r="F311" s="1">
        <f>IF(C311="",0,IF(COUNTIFS($A$2:A311,A311,$B$2:B311,B311,$C$2:C311,C311)=1,1,0))</f>
        <v>1</v>
      </c>
    </row>
    <row r="312" spans="1:6" x14ac:dyDescent="0.2">
      <c r="A312" t="s">
        <v>655</v>
      </c>
      <c r="B312" t="s">
        <v>1063</v>
      </c>
      <c r="C312" t="s">
        <v>1251</v>
      </c>
      <c r="D312" t="s">
        <v>1258</v>
      </c>
      <c r="E312" s="1">
        <f>IF(COUNTIFS($A$2:A312,A312,$B$2:B312,B312)=1,1,0)</f>
        <v>1</v>
      </c>
      <c r="F312" s="1">
        <f>IF(C312="",0,IF(COUNTIFS($A$2:A312,A312,$B$2:B312,B312,$C$2:C312,C312)=1,1,0))</f>
        <v>1</v>
      </c>
    </row>
    <row r="313" spans="1:6" x14ac:dyDescent="0.2">
      <c r="A313" t="s">
        <v>655</v>
      </c>
      <c r="B313" t="s">
        <v>1063</v>
      </c>
      <c r="C313" t="s">
        <v>1259</v>
      </c>
      <c r="E313" s="1">
        <f>IF(COUNTIFS($A$2:A313,A313,$B$2:B313,B313)=1,1,0)</f>
        <v>0</v>
      </c>
      <c r="F313" s="1">
        <f>IF(C313="",0,IF(COUNTIFS($A$2:A313,A313,$B$2:B313,B313,$C$2:C313,C313)=1,1,0))</f>
        <v>1</v>
      </c>
    </row>
    <row r="314" spans="1:6" x14ac:dyDescent="0.2">
      <c r="A314" t="s">
        <v>659</v>
      </c>
      <c r="B314" t="s">
        <v>1061</v>
      </c>
      <c r="C314" t="s">
        <v>1249</v>
      </c>
      <c r="E314" s="1">
        <f>IF(COUNTIFS($A$2:A314,A314,$B$2:B314,B314)=1,1,0)</f>
        <v>1</v>
      </c>
      <c r="F314" s="1">
        <f>IF(C314="",0,IF(COUNTIFS($A$2:A314,A314,$B$2:B314,B314,$C$2:C314,C314)=1,1,0))</f>
        <v>1</v>
      </c>
    </row>
    <row r="315" spans="1:6" x14ac:dyDescent="0.2">
      <c r="A315" t="s">
        <v>659</v>
      </c>
      <c r="B315" t="s">
        <v>1059</v>
      </c>
      <c r="C315" t="s">
        <v>1265</v>
      </c>
      <c r="D315" t="s">
        <v>1271</v>
      </c>
      <c r="E315" s="1">
        <f>IF(COUNTIFS($A$2:A315,A315,$B$2:B315,B315)=1,1,0)</f>
        <v>1</v>
      </c>
      <c r="F315" s="1">
        <f>IF(C315="",0,IF(COUNTIFS($A$2:A315,A315,$B$2:B315,B315,$C$2:C315,C315)=1,1,0))</f>
        <v>1</v>
      </c>
    </row>
    <row r="316" spans="1:6" x14ac:dyDescent="0.2">
      <c r="A316" t="s">
        <v>662</v>
      </c>
      <c r="B316" t="s">
        <v>1061</v>
      </c>
      <c r="C316" t="s">
        <v>1249</v>
      </c>
      <c r="D316" t="s">
        <v>1250</v>
      </c>
      <c r="E316" s="1">
        <f>IF(COUNTIFS($A$2:A316,A316,$B$2:B316,B316)=1,1,0)</f>
        <v>1</v>
      </c>
      <c r="F316" s="1">
        <f>IF(C316="",0,IF(COUNTIFS($A$2:A316,A316,$B$2:B316,B316,$C$2:C316,C316)=1,1,0))</f>
        <v>1</v>
      </c>
    </row>
    <row r="317" spans="1:6" x14ac:dyDescent="0.2">
      <c r="A317" t="s">
        <v>662</v>
      </c>
      <c r="B317" t="s">
        <v>1059</v>
      </c>
      <c r="C317" t="s">
        <v>1265</v>
      </c>
      <c r="D317" t="s">
        <v>1271</v>
      </c>
      <c r="E317" s="1">
        <f>IF(COUNTIFS($A$2:A317,A317,$B$2:B317,B317)=1,1,0)</f>
        <v>1</v>
      </c>
      <c r="F317" s="1">
        <f>IF(C317="",0,IF(COUNTIFS($A$2:A317,A317,$B$2:B317,B317,$C$2:C317,C317)=1,1,0))</f>
        <v>1</v>
      </c>
    </row>
    <row r="318" spans="1:6" x14ac:dyDescent="0.2">
      <c r="A318" t="s">
        <v>665</v>
      </c>
      <c r="B318" t="s">
        <v>1063</v>
      </c>
      <c r="C318" t="s">
        <v>1263</v>
      </c>
      <c r="D318" t="s">
        <v>1264</v>
      </c>
      <c r="E318" s="1">
        <f>IF(COUNTIFS($A$2:A318,A318,$B$2:B318,B318)=1,1,0)</f>
        <v>1</v>
      </c>
      <c r="F318" s="1">
        <f>IF(C318="",0,IF(COUNTIFS($A$2:A318,A318,$B$2:B318,B318,$C$2:C318,C318)=1,1,0))</f>
        <v>1</v>
      </c>
    </row>
    <row r="319" spans="1:6" x14ac:dyDescent="0.2">
      <c r="A319" t="s">
        <v>665</v>
      </c>
      <c r="B319" t="s">
        <v>1059</v>
      </c>
      <c r="C319" t="s">
        <v>1261</v>
      </c>
      <c r="D319" t="s">
        <v>1262</v>
      </c>
      <c r="E319" s="1">
        <f>IF(COUNTIFS($A$2:A319,A319,$B$2:B319,B319)=1,1,0)</f>
        <v>1</v>
      </c>
      <c r="F319" s="1">
        <f>IF(C319="",0,IF(COUNTIFS($A$2:A319,A319,$B$2:B319,B319,$C$2:C319,C319)=1,1,0))</f>
        <v>1</v>
      </c>
    </row>
    <row r="320" spans="1:6" x14ac:dyDescent="0.2">
      <c r="A320" t="s">
        <v>665</v>
      </c>
      <c r="B320" t="s">
        <v>1063</v>
      </c>
      <c r="C320" t="s">
        <v>1251</v>
      </c>
      <c r="D320" t="s">
        <v>1276</v>
      </c>
      <c r="E320" s="1">
        <f>IF(COUNTIFS($A$2:A320,A320,$B$2:B320,B320)=1,1,0)</f>
        <v>0</v>
      </c>
      <c r="F320" s="1">
        <f>IF(C320="",0,IF(COUNTIFS($A$2:A320,A320,$B$2:B320,B320,$C$2:C320,C320)=1,1,0))</f>
        <v>1</v>
      </c>
    </row>
    <row r="321" spans="1:6" x14ac:dyDescent="0.2">
      <c r="A321" t="s">
        <v>668</v>
      </c>
      <c r="B321" t="s">
        <v>1059</v>
      </c>
      <c r="C321" t="s">
        <v>1265</v>
      </c>
      <c r="D321" t="s">
        <v>1266</v>
      </c>
      <c r="E321" s="1">
        <f>IF(COUNTIFS($A$2:A321,A321,$B$2:B321,B321)=1,1,0)</f>
        <v>1</v>
      </c>
      <c r="F321" s="1">
        <f>IF(C321="",0,IF(COUNTIFS($A$2:A321,A321,$B$2:B321,B321,$C$2:C321,C321)=1,1,0))</f>
        <v>1</v>
      </c>
    </row>
    <row r="322" spans="1:6" x14ac:dyDescent="0.2">
      <c r="A322" t="s">
        <v>673</v>
      </c>
      <c r="B322" t="s">
        <v>1063</v>
      </c>
      <c r="C322" t="s">
        <v>1263</v>
      </c>
      <c r="D322" t="s">
        <v>1264</v>
      </c>
      <c r="E322" s="1">
        <f>IF(COUNTIFS($A$2:A322,A322,$B$2:B322,B322)=1,1,0)</f>
        <v>1</v>
      </c>
      <c r="F322" s="1">
        <f>IF(C322="",0,IF(COUNTIFS($A$2:A322,A322,$B$2:B322,B322,$C$2:C322,C322)=1,1,0))</f>
        <v>1</v>
      </c>
    </row>
    <row r="323" spans="1:6" x14ac:dyDescent="0.2">
      <c r="A323" t="s">
        <v>673</v>
      </c>
      <c r="B323" t="s">
        <v>1059</v>
      </c>
      <c r="C323" t="s">
        <v>1261</v>
      </c>
      <c r="D323" t="s">
        <v>1272</v>
      </c>
      <c r="E323" s="1">
        <f>IF(COUNTIFS($A$2:A323,A323,$B$2:B323,B323)=1,1,0)</f>
        <v>1</v>
      </c>
      <c r="F323" s="1">
        <f>IF(C323="",0,IF(COUNTIFS($A$2:A323,A323,$B$2:B323,B323,$C$2:C323,C323)=1,1,0))</f>
        <v>1</v>
      </c>
    </row>
    <row r="324" spans="1:6" x14ac:dyDescent="0.2">
      <c r="A324" t="s">
        <v>673</v>
      </c>
      <c r="B324" t="s">
        <v>1063</v>
      </c>
      <c r="C324" t="s">
        <v>1259</v>
      </c>
      <c r="E324" s="1">
        <f>IF(COUNTIFS($A$2:A324,A324,$B$2:B324,B324)=1,1,0)</f>
        <v>0</v>
      </c>
      <c r="F324" s="1">
        <f>IF(C324="",0,IF(COUNTIFS($A$2:A324,A324,$B$2:B324,B324,$C$2:C324,C324)=1,1,0))</f>
        <v>1</v>
      </c>
    </row>
    <row r="325" spans="1:6" x14ac:dyDescent="0.2">
      <c r="A325" t="s">
        <v>677</v>
      </c>
      <c r="B325" t="s">
        <v>1059</v>
      </c>
      <c r="C325" t="s">
        <v>1265</v>
      </c>
      <c r="D325" t="s">
        <v>1271</v>
      </c>
      <c r="E325" s="1">
        <f>IF(COUNTIFS($A$2:A325,A325,$B$2:B325,B325)=1,1,0)</f>
        <v>1</v>
      </c>
      <c r="F325" s="1">
        <f>IF(C325="",0,IF(COUNTIFS($A$2:A325,A325,$B$2:B325,B325,$C$2:C325,C325)=1,1,0))</f>
        <v>1</v>
      </c>
    </row>
    <row r="326" spans="1:6" x14ac:dyDescent="0.2">
      <c r="A326" t="s">
        <v>677</v>
      </c>
      <c r="B326" t="s">
        <v>1059</v>
      </c>
      <c r="C326" t="s">
        <v>1265</v>
      </c>
      <c r="D326" t="s">
        <v>1266</v>
      </c>
      <c r="E326" s="1">
        <f>IF(COUNTIFS($A$2:A326,A326,$B$2:B326,B326)=1,1,0)</f>
        <v>0</v>
      </c>
      <c r="F326" s="1">
        <f>IF(C326="",0,IF(COUNTIFS($A$2:A326,A326,$B$2:B326,B326,$C$2:C326,C326)=1,1,0))</f>
        <v>0</v>
      </c>
    </row>
    <row r="327" spans="1:6" x14ac:dyDescent="0.2">
      <c r="A327" t="s">
        <v>680</v>
      </c>
      <c r="B327" t="s">
        <v>1061</v>
      </c>
      <c r="C327" t="s">
        <v>1249</v>
      </c>
      <c r="E327" s="1">
        <f>IF(COUNTIFS($A$2:A327,A327,$B$2:B327,B327)=1,1,0)</f>
        <v>1</v>
      </c>
      <c r="F327" s="1">
        <f>IF(C327="",0,IF(COUNTIFS($A$2:A327,A327,$B$2:B327,B327,$C$2:C327,C327)=1,1,0))</f>
        <v>1</v>
      </c>
    </row>
    <row r="328" spans="1:6" x14ac:dyDescent="0.2">
      <c r="A328" t="s">
        <v>680</v>
      </c>
      <c r="B328" t="s">
        <v>1059</v>
      </c>
      <c r="C328" t="s">
        <v>1265</v>
      </c>
      <c r="D328" t="s">
        <v>1271</v>
      </c>
      <c r="E328" s="1">
        <f>IF(COUNTIFS($A$2:A328,A328,$B$2:B328,B328)=1,1,0)</f>
        <v>1</v>
      </c>
      <c r="F328" s="1">
        <f>IF(C328="",0,IF(COUNTIFS($A$2:A328,A328,$B$2:B328,B328,$C$2:C328,C328)=1,1,0))</f>
        <v>1</v>
      </c>
    </row>
    <row r="329" spans="1:6" x14ac:dyDescent="0.2">
      <c r="A329" t="s">
        <v>682</v>
      </c>
      <c r="B329" t="s">
        <v>1063</v>
      </c>
      <c r="C329" t="s">
        <v>1251</v>
      </c>
      <c r="D329" t="s">
        <v>1252</v>
      </c>
      <c r="E329" s="1">
        <f>IF(COUNTIFS($A$2:A329,A329,$B$2:B329,B329)=1,1,0)</f>
        <v>1</v>
      </c>
      <c r="F329" s="1">
        <f>IF(C329="",0,IF(COUNTIFS($A$2:A329,A329,$B$2:B329,B329,$C$2:C329,C329)=1,1,0))</f>
        <v>1</v>
      </c>
    </row>
    <row r="330" spans="1:6" x14ac:dyDescent="0.2">
      <c r="A330" t="s">
        <v>682</v>
      </c>
      <c r="B330" t="s">
        <v>1059</v>
      </c>
      <c r="C330" t="s">
        <v>1246</v>
      </c>
      <c r="D330" t="s">
        <v>1247</v>
      </c>
      <c r="E330" s="1">
        <f>IF(COUNTIFS($A$2:A330,A330,$B$2:B330,B330)=1,1,0)</f>
        <v>1</v>
      </c>
      <c r="F330" s="1">
        <f>IF(C330="",0,IF(COUNTIFS($A$2:A330,A330,$B$2:B330,B330,$C$2:C330,C330)=1,1,0))</f>
        <v>1</v>
      </c>
    </row>
    <row r="331" spans="1:6" x14ac:dyDescent="0.2">
      <c r="A331" t="s">
        <v>682</v>
      </c>
      <c r="B331" t="s">
        <v>1063</v>
      </c>
      <c r="C331" t="s">
        <v>1259</v>
      </c>
      <c r="E331" s="1">
        <f>IF(COUNTIFS($A$2:A331,A331,$B$2:B331,B331)=1,1,0)</f>
        <v>0</v>
      </c>
      <c r="F331" s="1">
        <f>IF(C331="",0,IF(COUNTIFS($A$2:A331,A331,$B$2:B331,B331,$C$2:C331,C331)=1,1,0))</f>
        <v>1</v>
      </c>
    </row>
    <row r="332" spans="1:6" x14ac:dyDescent="0.2">
      <c r="A332" t="s">
        <v>682</v>
      </c>
      <c r="B332" t="s">
        <v>1059</v>
      </c>
      <c r="C332" t="s">
        <v>1244</v>
      </c>
      <c r="D332" t="s">
        <v>1245</v>
      </c>
      <c r="E332" s="1">
        <f>IF(COUNTIFS($A$2:A332,A332,$B$2:B332,B332)=1,1,0)</f>
        <v>0</v>
      </c>
      <c r="F332" s="1">
        <f>IF(C332="",0,IF(COUNTIFS($A$2:A332,A332,$B$2:B332,B332,$C$2:C332,C332)=1,1,0))</f>
        <v>1</v>
      </c>
    </row>
    <row r="333" spans="1:6" x14ac:dyDescent="0.2">
      <c r="A333" t="s">
        <v>682</v>
      </c>
      <c r="B333" t="s">
        <v>1059</v>
      </c>
      <c r="C333" t="s">
        <v>1265</v>
      </c>
      <c r="D333" t="s">
        <v>1266</v>
      </c>
      <c r="E333" s="1">
        <f>IF(COUNTIFS($A$2:A333,A333,$B$2:B333,B333)=1,1,0)</f>
        <v>0</v>
      </c>
      <c r="F333" s="1">
        <f>IF(C333="",0,IF(COUNTIFS($A$2:A333,A333,$B$2:B333,B333,$C$2:C333,C333)=1,1,0))</f>
        <v>1</v>
      </c>
    </row>
    <row r="334" spans="1:6" x14ac:dyDescent="0.2">
      <c r="A334" t="s">
        <v>686</v>
      </c>
      <c r="B334" t="s">
        <v>1063</v>
      </c>
      <c r="C334" t="s">
        <v>1251</v>
      </c>
      <c r="D334" t="s">
        <v>1276</v>
      </c>
      <c r="E334" s="1">
        <f>IF(COUNTIFS($A$2:A334,A334,$B$2:B334,B334)=1,1,0)</f>
        <v>1</v>
      </c>
      <c r="F334" s="1">
        <f>IF(C334="",0,IF(COUNTIFS($A$2:A334,A334,$B$2:B334,B334,$C$2:C334,C334)=1,1,0))</f>
        <v>1</v>
      </c>
    </row>
    <row r="335" spans="1:6" x14ac:dyDescent="0.2">
      <c r="A335" t="s">
        <v>686</v>
      </c>
      <c r="B335" t="s">
        <v>1063</v>
      </c>
      <c r="C335" t="s">
        <v>1259</v>
      </c>
      <c r="D335" t="s">
        <v>1274</v>
      </c>
      <c r="E335" s="1">
        <f>IF(COUNTIFS($A$2:A335,A335,$B$2:B335,B335)=1,1,0)</f>
        <v>0</v>
      </c>
      <c r="F335" s="1">
        <f>IF(C335="",0,IF(COUNTIFS($A$2:A335,A335,$B$2:B335,B335,$C$2:C335,C335)=1,1,0))</f>
        <v>1</v>
      </c>
    </row>
    <row r="336" spans="1:6" x14ac:dyDescent="0.2">
      <c r="A336" t="s">
        <v>686</v>
      </c>
      <c r="B336" t="s">
        <v>1059</v>
      </c>
      <c r="C336" t="s">
        <v>1261</v>
      </c>
      <c r="D336" t="s">
        <v>1272</v>
      </c>
      <c r="E336" s="1">
        <f>IF(COUNTIFS($A$2:A336,A336,$B$2:B336,B336)=1,1,0)</f>
        <v>1</v>
      </c>
      <c r="F336" s="1">
        <f>IF(C336="",0,IF(COUNTIFS($A$2:A336,A336,$B$2:B336,B336,$C$2:C336,C336)=1,1,0))</f>
        <v>1</v>
      </c>
    </row>
    <row r="337" spans="1:6" x14ac:dyDescent="0.2">
      <c r="A337" t="s">
        <v>686</v>
      </c>
      <c r="B337" t="s">
        <v>1059</v>
      </c>
      <c r="C337" t="s">
        <v>1265</v>
      </c>
      <c r="D337" t="s">
        <v>1266</v>
      </c>
      <c r="E337" s="1">
        <f>IF(COUNTIFS($A$2:A337,A337,$B$2:B337,B337)=1,1,0)</f>
        <v>0</v>
      </c>
      <c r="F337" s="1">
        <f>IF(C337="",0,IF(COUNTIFS($A$2:A337,A337,$B$2:B337,B337,$C$2:C337,C337)=1,1,0))</f>
        <v>1</v>
      </c>
    </row>
    <row r="338" spans="1:6" x14ac:dyDescent="0.2">
      <c r="A338" t="s">
        <v>690</v>
      </c>
      <c r="B338" t="s">
        <v>1061</v>
      </c>
      <c r="C338" t="s">
        <v>1249</v>
      </c>
      <c r="E338" s="1">
        <f>IF(COUNTIFS($A$2:A338,A338,$B$2:B338,B338)=1,1,0)</f>
        <v>1</v>
      </c>
      <c r="F338" s="1">
        <f>IF(C338="",0,IF(COUNTIFS($A$2:A338,A338,$B$2:B338,B338,$C$2:C338,C338)=1,1,0))</f>
        <v>1</v>
      </c>
    </row>
    <row r="339" spans="1:6" x14ac:dyDescent="0.2">
      <c r="A339" t="s">
        <v>693</v>
      </c>
      <c r="B339" t="s">
        <v>1063</v>
      </c>
      <c r="C339" t="s">
        <v>1259</v>
      </c>
      <c r="D339" t="s">
        <v>1274</v>
      </c>
      <c r="E339" s="1">
        <f>IF(COUNTIFS($A$2:A339,A339,$B$2:B339,B339)=1,1,0)</f>
        <v>1</v>
      </c>
      <c r="F339" s="1">
        <f>IF(C339="",0,IF(COUNTIFS($A$2:A339,A339,$B$2:B339,B339,$C$2:C339,C339)=1,1,0))</f>
        <v>1</v>
      </c>
    </row>
    <row r="340" spans="1:6" x14ac:dyDescent="0.2">
      <c r="A340" t="s">
        <v>693</v>
      </c>
      <c r="B340" t="s">
        <v>1063</v>
      </c>
      <c r="C340" t="s">
        <v>1251</v>
      </c>
      <c r="D340" t="s">
        <v>1252</v>
      </c>
      <c r="E340" s="1">
        <f>IF(COUNTIFS($A$2:A340,A340,$B$2:B340,B340)=1,1,0)</f>
        <v>0</v>
      </c>
      <c r="F340" s="1">
        <f>IF(C340="",0,IF(COUNTIFS($A$2:A340,A340,$B$2:B340,B340,$C$2:C340,C340)=1,1,0))</f>
        <v>1</v>
      </c>
    </row>
    <row r="341" spans="1:6" x14ac:dyDescent="0.2">
      <c r="A341" t="s">
        <v>693</v>
      </c>
      <c r="B341" t="s">
        <v>1059</v>
      </c>
      <c r="C341" t="s">
        <v>1261</v>
      </c>
      <c r="D341" t="s">
        <v>1275</v>
      </c>
      <c r="E341" s="1">
        <f>IF(COUNTIFS($A$2:A341,A341,$B$2:B341,B341)=1,1,0)</f>
        <v>1</v>
      </c>
      <c r="F341" s="1">
        <f>IF(C341="",0,IF(COUNTIFS($A$2:A341,A341,$B$2:B341,B341,$C$2:C341,C341)=1,1,0))</f>
        <v>1</v>
      </c>
    </row>
    <row r="342" spans="1:6" x14ac:dyDescent="0.2">
      <c r="A342" t="s">
        <v>697</v>
      </c>
      <c r="B342" t="s">
        <v>1061</v>
      </c>
      <c r="C342" t="s">
        <v>1249</v>
      </c>
      <c r="E342" s="1">
        <f>IF(COUNTIFS($A$2:A342,A342,$B$2:B342,B342)=1,1,0)</f>
        <v>1</v>
      </c>
      <c r="F342" s="1">
        <f>IF(C342="",0,IF(COUNTIFS($A$2:A342,A342,$B$2:B342,B342,$C$2:C342,C342)=1,1,0))</f>
        <v>1</v>
      </c>
    </row>
    <row r="343" spans="1:6" x14ac:dyDescent="0.2">
      <c r="A343" t="s">
        <v>697</v>
      </c>
      <c r="B343" t="s">
        <v>1059</v>
      </c>
      <c r="C343" t="s">
        <v>1244</v>
      </c>
      <c r="D343" t="s">
        <v>1245</v>
      </c>
      <c r="E343" s="1">
        <f>IF(COUNTIFS($A$2:A343,A343,$B$2:B343,B343)=1,1,0)</f>
        <v>1</v>
      </c>
      <c r="F343" s="1">
        <f>IF(C343="",0,IF(COUNTIFS($A$2:A343,A343,$B$2:B343,B343,$C$2:C343,C343)=1,1,0))</f>
        <v>1</v>
      </c>
    </row>
    <row r="344" spans="1:6" x14ac:dyDescent="0.2">
      <c r="A344" t="s">
        <v>697</v>
      </c>
      <c r="B344" t="s">
        <v>1059</v>
      </c>
      <c r="C344" t="s">
        <v>1265</v>
      </c>
      <c r="D344" t="s">
        <v>1271</v>
      </c>
      <c r="E344" s="1">
        <f>IF(COUNTIFS($A$2:A344,A344,$B$2:B344,B344)=1,1,0)</f>
        <v>0</v>
      </c>
      <c r="F344" s="1">
        <f>IF(C344="",0,IF(COUNTIFS($A$2:A344,A344,$B$2:B344,B344,$C$2:C344,C344)=1,1,0))</f>
        <v>1</v>
      </c>
    </row>
    <row r="345" spans="1:6" x14ac:dyDescent="0.2">
      <c r="A345" t="s">
        <v>703</v>
      </c>
      <c r="B345" t="s">
        <v>1060</v>
      </c>
      <c r="E345" s="1">
        <f>IF(COUNTIFS($A$2:A345,A345,$B$2:B345,B345)=1,1,0)</f>
        <v>1</v>
      </c>
      <c r="F345" s="1">
        <f>IF(C345="",0,IF(COUNTIFS($A$2:A345,A345,$B$2:B345,B345,$C$2:C345,C345)=1,1,0))</f>
        <v>0</v>
      </c>
    </row>
    <row r="346" spans="1:6" x14ac:dyDescent="0.2">
      <c r="A346" t="s">
        <v>706</v>
      </c>
      <c r="B346" t="s">
        <v>1061</v>
      </c>
      <c r="C346" t="s">
        <v>1249</v>
      </c>
      <c r="E346" s="1">
        <f>IF(COUNTIFS($A$2:A346,A346,$B$2:B346,B346)=1,1,0)</f>
        <v>1</v>
      </c>
      <c r="F346" s="1">
        <f>IF(C346="",0,IF(COUNTIFS($A$2:A346,A346,$B$2:B346,B346,$C$2:C346,C346)=1,1,0))</f>
        <v>1</v>
      </c>
    </row>
    <row r="347" spans="1:6" x14ac:dyDescent="0.2">
      <c r="A347" t="s">
        <v>706</v>
      </c>
      <c r="B347" t="s">
        <v>1061</v>
      </c>
      <c r="C347" t="s">
        <v>1249</v>
      </c>
      <c r="D347" t="s">
        <v>1250</v>
      </c>
      <c r="E347" s="1">
        <f>IF(COUNTIFS($A$2:A347,A347,$B$2:B347,B347)=1,1,0)</f>
        <v>0</v>
      </c>
      <c r="F347" s="1">
        <f>IF(C347="",0,IF(COUNTIFS($A$2:A347,A347,$B$2:B347,B347,$C$2:C347,C347)=1,1,0))</f>
        <v>0</v>
      </c>
    </row>
    <row r="348" spans="1:6" x14ac:dyDescent="0.2">
      <c r="A348" t="s">
        <v>709</v>
      </c>
      <c r="B348" t="s">
        <v>1061</v>
      </c>
      <c r="C348" t="s">
        <v>1268</v>
      </c>
      <c r="D348" t="s">
        <v>1269</v>
      </c>
      <c r="E348" s="1">
        <f>IF(COUNTIFS($A$2:A348,A348,$B$2:B348,B348)=1,1,0)</f>
        <v>1</v>
      </c>
      <c r="F348" s="1">
        <f>IF(C348="",0,IF(COUNTIFS($A$2:A348,A348,$B$2:B348,B348,$C$2:C348,C348)=1,1,0))</f>
        <v>1</v>
      </c>
    </row>
    <row r="349" spans="1:6" x14ac:dyDescent="0.2">
      <c r="A349" t="s">
        <v>709</v>
      </c>
      <c r="B349" t="s">
        <v>1059</v>
      </c>
      <c r="C349" t="s">
        <v>1253</v>
      </c>
      <c r="D349" t="s">
        <v>1254</v>
      </c>
      <c r="E349" s="1">
        <f>IF(COUNTIFS($A$2:A349,A349,$B$2:B349,B349)=1,1,0)</f>
        <v>1</v>
      </c>
      <c r="F349" s="1">
        <f>IF(C349="",0,IF(COUNTIFS($A$2:A349,A349,$B$2:B349,B349,$C$2:C349,C349)=1,1,0))</f>
        <v>1</v>
      </c>
    </row>
    <row r="350" spans="1:6" x14ac:dyDescent="0.2">
      <c r="A350" t="s">
        <v>712</v>
      </c>
      <c r="B350" t="s">
        <v>1059</v>
      </c>
      <c r="C350" t="s">
        <v>1265</v>
      </c>
      <c r="D350" t="s">
        <v>1266</v>
      </c>
      <c r="E350" s="1">
        <f>IF(COUNTIFS($A$2:A350,A350,$B$2:B350,B350)=1,1,0)</f>
        <v>1</v>
      </c>
      <c r="F350" s="1">
        <f>IF(C350="",0,IF(COUNTIFS($A$2:A350,A350,$B$2:B350,B350,$C$2:C350,C350)=1,1,0))</f>
        <v>1</v>
      </c>
    </row>
    <row r="351" spans="1:6" x14ac:dyDescent="0.2">
      <c r="A351" t="s">
        <v>715</v>
      </c>
      <c r="B351" t="s">
        <v>1061</v>
      </c>
      <c r="E351" s="1">
        <f>IF(COUNTIFS($A$2:A351,A351,$B$2:B351,B351)=1,1,0)</f>
        <v>1</v>
      </c>
      <c r="F351" s="1">
        <f>IF(C351="",0,IF(COUNTIFS($A$2:A351,A351,$B$2:B351,B351,$C$2:C351,C351)=1,1,0))</f>
        <v>0</v>
      </c>
    </row>
    <row r="352" spans="1:6" x14ac:dyDescent="0.2">
      <c r="A352" t="s">
        <v>715</v>
      </c>
      <c r="B352" t="s">
        <v>1063</v>
      </c>
      <c r="C352" t="s">
        <v>1259</v>
      </c>
      <c r="E352" s="1">
        <f>IF(COUNTIFS($A$2:A352,A352,$B$2:B352,B352)=1,1,0)</f>
        <v>1</v>
      </c>
      <c r="F352" s="1">
        <f>IF(C352="",0,IF(COUNTIFS($A$2:A352,A352,$B$2:B352,B352,$C$2:C352,C352)=1,1,0))</f>
        <v>1</v>
      </c>
    </row>
    <row r="353" spans="1:6" x14ac:dyDescent="0.2">
      <c r="A353" t="s">
        <v>718</v>
      </c>
      <c r="B353" t="s">
        <v>1061</v>
      </c>
      <c r="C353" t="s">
        <v>1249</v>
      </c>
      <c r="E353" s="1">
        <f>IF(COUNTIFS($A$2:A353,A353,$B$2:B353,B353)=1,1,0)</f>
        <v>1</v>
      </c>
      <c r="F353" s="1">
        <f>IF(C353="",0,IF(COUNTIFS($A$2:A353,A353,$B$2:B353,B353,$C$2:C353,C353)=1,1,0))</f>
        <v>1</v>
      </c>
    </row>
    <row r="354" spans="1:6" x14ac:dyDescent="0.2">
      <c r="A354" t="s">
        <v>718</v>
      </c>
      <c r="B354" t="s">
        <v>1061</v>
      </c>
      <c r="C354" t="s">
        <v>1249</v>
      </c>
      <c r="D354" t="s">
        <v>1250</v>
      </c>
      <c r="E354" s="1">
        <f>IF(COUNTIFS($A$2:A354,A354,$B$2:B354,B354)=1,1,0)</f>
        <v>0</v>
      </c>
      <c r="F354" s="1">
        <f>IF(C354="",0,IF(COUNTIFS($A$2:A354,A354,$B$2:B354,B354,$C$2:C354,C354)=1,1,0))</f>
        <v>0</v>
      </c>
    </row>
    <row r="355" spans="1:6" x14ac:dyDescent="0.2">
      <c r="A355" t="s">
        <v>718</v>
      </c>
      <c r="B355" t="s">
        <v>1063</v>
      </c>
      <c r="C355" t="s">
        <v>1251</v>
      </c>
      <c r="E355" s="1">
        <f>IF(COUNTIFS($A$2:A355,A355,$B$2:B355,B355)=1,1,0)</f>
        <v>1</v>
      </c>
      <c r="F355" s="1">
        <f>IF(C355="",0,IF(COUNTIFS($A$2:A355,A355,$B$2:B355,B355,$C$2:C355,C355)=1,1,0))</f>
        <v>1</v>
      </c>
    </row>
    <row r="356" spans="1:6" x14ac:dyDescent="0.2">
      <c r="A356" t="s">
        <v>718</v>
      </c>
      <c r="B356" t="s">
        <v>1063</v>
      </c>
      <c r="C356" t="s">
        <v>1259</v>
      </c>
      <c r="E356" s="1">
        <f>IF(COUNTIFS($A$2:A356,A356,$B$2:B356,B356)=1,1,0)</f>
        <v>0</v>
      </c>
      <c r="F356" s="1">
        <f>IF(C356="",0,IF(COUNTIFS($A$2:A356,A356,$B$2:B356,B356,$C$2:C356,C356)=1,1,0))</f>
        <v>1</v>
      </c>
    </row>
    <row r="357" spans="1:6" x14ac:dyDescent="0.2">
      <c r="A357" t="s">
        <v>721</v>
      </c>
      <c r="B357" t="s">
        <v>1063</v>
      </c>
      <c r="C357" t="s">
        <v>1251</v>
      </c>
      <c r="E357" s="1">
        <f>IF(COUNTIFS($A$2:A357,A357,$B$2:B357,B357)=1,1,0)</f>
        <v>1</v>
      </c>
      <c r="F357" s="1">
        <f>IF(C357="",0,IF(COUNTIFS($A$2:A357,A357,$B$2:B357,B357,$C$2:C357,C357)=1,1,0))</f>
        <v>1</v>
      </c>
    </row>
    <row r="358" spans="1:6" x14ac:dyDescent="0.2">
      <c r="A358" t="s">
        <v>721</v>
      </c>
      <c r="B358" t="s">
        <v>1061</v>
      </c>
      <c r="C358" t="s">
        <v>1249</v>
      </c>
      <c r="D358" t="s">
        <v>1250</v>
      </c>
      <c r="E358" s="1">
        <f>IF(COUNTIFS($A$2:A358,A358,$B$2:B358,B358)=1,1,0)</f>
        <v>1</v>
      </c>
      <c r="F358" s="1">
        <f>IF(C358="",0,IF(COUNTIFS($A$2:A358,A358,$B$2:B358,B358,$C$2:C358,C358)=1,1,0))</f>
        <v>1</v>
      </c>
    </row>
    <row r="359" spans="1:6" x14ac:dyDescent="0.2">
      <c r="A359" t="s">
        <v>724</v>
      </c>
      <c r="B359" t="s">
        <v>1059</v>
      </c>
      <c r="C359" t="s">
        <v>1265</v>
      </c>
      <c r="D359" t="s">
        <v>1271</v>
      </c>
      <c r="E359" s="1">
        <f>IF(COUNTIFS($A$2:A359,A359,$B$2:B359,B359)=1,1,0)</f>
        <v>1</v>
      </c>
      <c r="F359" s="1">
        <f>IF(C359="",0,IF(COUNTIFS($A$2:A359,A359,$B$2:B359,B359,$C$2:C359,C359)=1,1,0))</f>
        <v>1</v>
      </c>
    </row>
    <row r="360" spans="1:6" x14ac:dyDescent="0.2">
      <c r="A360" t="s">
        <v>724</v>
      </c>
      <c r="B360" t="s">
        <v>1059</v>
      </c>
      <c r="C360" t="s">
        <v>1261</v>
      </c>
      <c r="D360" t="s">
        <v>1275</v>
      </c>
      <c r="E360" s="1">
        <f>IF(COUNTIFS($A$2:A360,A360,$B$2:B360,B360)=1,1,0)</f>
        <v>0</v>
      </c>
      <c r="F360" s="1">
        <f>IF(C360="",0,IF(COUNTIFS($A$2:A360,A360,$B$2:B360,B360,$C$2:C360,C360)=1,1,0))</f>
        <v>1</v>
      </c>
    </row>
    <row r="361" spans="1:6" x14ac:dyDescent="0.2">
      <c r="A361" t="s">
        <v>724</v>
      </c>
      <c r="B361" t="s">
        <v>1059</v>
      </c>
      <c r="C361" t="s">
        <v>1253</v>
      </c>
      <c r="D361" t="s">
        <v>1280</v>
      </c>
      <c r="E361" s="1">
        <f>IF(COUNTIFS($A$2:A361,A361,$B$2:B361,B361)=1,1,0)</f>
        <v>0</v>
      </c>
      <c r="F361" s="1">
        <f>IF(C361="",0,IF(COUNTIFS($A$2:A361,A361,$B$2:B361,B361,$C$2:C361,C361)=1,1,0))</f>
        <v>1</v>
      </c>
    </row>
    <row r="362" spans="1:6" x14ac:dyDescent="0.2">
      <c r="A362" t="s">
        <v>728</v>
      </c>
      <c r="B362" t="s">
        <v>1061</v>
      </c>
      <c r="C362" t="s">
        <v>1249</v>
      </c>
      <c r="D362" t="s">
        <v>1278</v>
      </c>
      <c r="E362" s="1">
        <f>IF(COUNTIFS($A$2:A362,A362,$B$2:B362,B362)=1,1,0)</f>
        <v>1</v>
      </c>
      <c r="F362" s="1">
        <f>IF(C362="",0,IF(COUNTIFS($A$2:A362,A362,$B$2:B362,B362,$C$2:C362,C362)=1,1,0))</f>
        <v>1</v>
      </c>
    </row>
    <row r="363" spans="1:6" x14ac:dyDescent="0.2">
      <c r="A363" t="s">
        <v>731</v>
      </c>
      <c r="B363" t="s">
        <v>1061</v>
      </c>
      <c r="C363" t="s">
        <v>1249</v>
      </c>
      <c r="E363" s="1">
        <f>IF(COUNTIFS($A$2:A363,A363,$B$2:B363,B363)=1,1,0)</f>
        <v>1</v>
      </c>
      <c r="F363" s="1">
        <f>IF(C363="",0,IF(COUNTIFS($A$2:A363,A363,$B$2:B363,B363,$C$2:C363,C363)=1,1,0))</f>
        <v>1</v>
      </c>
    </row>
    <row r="364" spans="1:6" x14ac:dyDescent="0.2">
      <c r="A364" t="s">
        <v>731</v>
      </c>
      <c r="B364" t="s">
        <v>1061</v>
      </c>
      <c r="C364" t="s">
        <v>1249</v>
      </c>
      <c r="D364" t="s">
        <v>1250</v>
      </c>
      <c r="E364" s="1">
        <f>IF(COUNTIFS($A$2:A364,A364,$B$2:B364,B364)=1,1,0)</f>
        <v>0</v>
      </c>
      <c r="F364" s="1">
        <f>IF(C364="",0,IF(COUNTIFS($A$2:A364,A364,$B$2:B364,B364,$C$2:C364,C364)=1,1,0))</f>
        <v>0</v>
      </c>
    </row>
    <row r="365" spans="1:6" x14ac:dyDescent="0.2">
      <c r="A365" t="s">
        <v>731</v>
      </c>
      <c r="B365" t="s">
        <v>1063</v>
      </c>
      <c r="C365" t="s">
        <v>1259</v>
      </c>
      <c r="D365" t="s">
        <v>1274</v>
      </c>
      <c r="E365" s="1">
        <f>IF(COUNTIFS($A$2:A365,A365,$B$2:B365,B365)=1,1,0)</f>
        <v>1</v>
      </c>
      <c r="F365" s="1">
        <f>IF(C365="",0,IF(COUNTIFS($A$2:A365,A365,$B$2:B365,B365,$C$2:C365,C365)=1,1,0))</f>
        <v>1</v>
      </c>
    </row>
    <row r="366" spans="1:6" x14ac:dyDescent="0.2">
      <c r="A366" t="s">
        <v>734</v>
      </c>
      <c r="B366" t="s">
        <v>1061</v>
      </c>
      <c r="C366" t="s">
        <v>1249</v>
      </c>
      <c r="D366" t="s">
        <v>1257</v>
      </c>
      <c r="E366" s="1">
        <f>IF(COUNTIFS($A$2:A366,A366,$B$2:B366,B366)=1,1,0)</f>
        <v>1</v>
      </c>
      <c r="F366" s="1">
        <f>IF(C366="",0,IF(COUNTIFS($A$2:A366,A366,$B$2:B366,B366,$C$2:C366,C366)=1,1,0))</f>
        <v>1</v>
      </c>
    </row>
    <row r="367" spans="1:6" x14ac:dyDescent="0.2">
      <c r="A367" t="s">
        <v>734</v>
      </c>
      <c r="B367" t="s">
        <v>1061</v>
      </c>
      <c r="C367" t="s">
        <v>1249</v>
      </c>
      <c r="D367" t="s">
        <v>1278</v>
      </c>
      <c r="E367" s="1">
        <f>IF(COUNTIFS($A$2:A367,A367,$B$2:B367,B367)=1,1,0)</f>
        <v>0</v>
      </c>
      <c r="F367" s="1">
        <f>IF(C367="",0,IF(COUNTIFS($A$2:A367,A367,$B$2:B367,B367,$C$2:C367,C367)=1,1,0))</f>
        <v>0</v>
      </c>
    </row>
    <row r="368" spans="1:6" x14ac:dyDescent="0.2">
      <c r="A368" t="s">
        <v>737</v>
      </c>
      <c r="B368" t="s">
        <v>1063</v>
      </c>
      <c r="C368" t="s">
        <v>1251</v>
      </c>
      <c r="E368" s="1">
        <f>IF(COUNTIFS($A$2:A368,A368,$B$2:B368,B368)=1,1,0)</f>
        <v>1</v>
      </c>
      <c r="F368" s="1">
        <f>IF(C368="",0,IF(COUNTIFS($A$2:A368,A368,$B$2:B368,B368,$C$2:C368,C368)=1,1,0))</f>
        <v>1</v>
      </c>
    </row>
    <row r="369" spans="1:6" x14ac:dyDescent="0.2">
      <c r="A369" t="s">
        <v>737</v>
      </c>
      <c r="B369" t="s">
        <v>1063</v>
      </c>
      <c r="C369" t="s">
        <v>1259</v>
      </c>
      <c r="E369" s="1">
        <f>IF(COUNTIFS($A$2:A369,A369,$B$2:B369,B369)=1,1,0)</f>
        <v>0</v>
      </c>
      <c r="F369" s="1">
        <f>IF(C369="",0,IF(COUNTIFS($A$2:A369,A369,$B$2:B369,B369,$C$2:C369,C369)=1,1,0))</f>
        <v>1</v>
      </c>
    </row>
    <row r="370" spans="1:6" x14ac:dyDescent="0.2">
      <c r="A370" t="s">
        <v>737</v>
      </c>
      <c r="B370" t="s">
        <v>1061</v>
      </c>
      <c r="C370" t="s">
        <v>1249</v>
      </c>
      <c r="E370" s="1">
        <f>IF(COUNTIFS($A$2:A370,A370,$B$2:B370,B370)=1,1,0)</f>
        <v>1</v>
      </c>
      <c r="F370" s="1">
        <f>IF(C370="",0,IF(COUNTIFS($A$2:A370,A370,$B$2:B370,B370,$C$2:C370,C370)=1,1,0))</f>
        <v>1</v>
      </c>
    </row>
    <row r="371" spans="1:6" x14ac:dyDescent="0.2">
      <c r="A371" t="s">
        <v>737</v>
      </c>
      <c r="B371" t="s">
        <v>1061</v>
      </c>
      <c r="C371" t="s">
        <v>1249</v>
      </c>
      <c r="D371" t="s">
        <v>1250</v>
      </c>
      <c r="E371" s="1">
        <f>IF(COUNTIFS($A$2:A371,A371,$B$2:B371,B371)=1,1,0)</f>
        <v>0</v>
      </c>
      <c r="F371" s="1">
        <f>IF(C371="",0,IF(COUNTIFS($A$2:A371,A371,$B$2:B371,B371,$C$2:C371,C371)=1,1,0))</f>
        <v>0</v>
      </c>
    </row>
    <row r="372" spans="1:6" x14ac:dyDescent="0.2">
      <c r="A372" t="s">
        <v>737</v>
      </c>
      <c r="B372" t="s">
        <v>1059</v>
      </c>
      <c r="C372" t="s">
        <v>1265</v>
      </c>
      <c r="D372" t="s">
        <v>1266</v>
      </c>
      <c r="E372" s="1">
        <f>IF(COUNTIFS($A$2:A372,A372,$B$2:B372,B372)=1,1,0)</f>
        <v>1</v>
      </c>
      <c r="F372" s="1">
        <f>IF(C372="",0,IF(COUNTIFS($A$2:A372,A372,$B$2:B372,B372,$C$2:C372,C372)=1,1,0))</f>
        <v>1</v>
      </c>
    </row>
    <row r="373" spans="1:6" x14ac:dyDescent="0.2">
      <c r="A373" t="s">
        <v>741</v>
      </c>
      <c r="B373" t="s">
        <v>1059</v>
      </c>
      <c r="C373" t="s">
        <v>1265</v>
      </c>
      <c r="D373" t="s">
        <v>1271</v>
      </c>
      <c r="E373" s="1">
        <f>IF(COUNTIFS($A$2:A373,A373,$B$2:B373,B373)=1,1,0)</f>
        <v>1</v>
      </c>
      <c r="F373" s="1">
        <f>IF(C373="",0,IF(COUNTIFS($A$2:A373,A373,$B$2:B373,B373,$C$2:C373,C373)=1,1,0))</f>
        <v>1</v>
      </c>
    </row>
    <row r="374" spans="1:6" x14ac:dyDescent="0.2">
      <c r="A374" t="s">
        <v>741</v>
      </c>
      <c r="B374" t="s">
        <v>1059</v>
      </c>
      <c r="C374" t="s">
        <v>1265</v>
      </c>
      <c r="D374" t="s">
        <v>1266</v>
      </c>
      <c r="E374" s="1">
        <f>IF(COUNTIFS($A$2:A374,A374,$B$2:B374,B374)=1,1,0)</f>
        <v>0</v>
      </c>
      <c r="F374" s="1">
        <f>IF(C374="",0,IF(COUNTIFS($A$2:A374,A374,$B$2:B374,B374,$C$2:C374,C374)=1,1,0))</f>
        <v>0</v>
      </c>
    </row>
    <row r="375" spans="1:6" x14ac:dyDescent="0.2">
      <c r="A375" t="s">
        <v>744</v>
      </c>
      <c r="B375" t="s">
        <v>1063</v>
      </c>
      <c r="C375" t="s">
        <v>1251</v>
      </c>
      <c r="D375" t="s">
        <v>1258</v>
      </c>
      <c r="E375" s="1">
        <f>IF(COUNTIFS($A$2:A375,A375,$B$2:B375,B375)=1,1,0)</f>
        <v>1</v>
      </c>
      <c r="F375" s="1">
        <f>IF(C375="",0,IF(COUNTIFS($A$2:A375,A375,$B$2:B375,B375,$C$2:C375,C375)=1,1,0))</f>
        <v>1</v>
      </c>
    </row>
    <row r="376" spans="1:6" x14ac:dyDescent="0.2">
      <c r="A376" t="s">
        <v>744</v>
      </c>
      <c r="B376" t="s">
        <v>1063</v>
      </c>
      <c r="C376" t="s">
        <v>1263</v>
      </c>
      <c r="D376" t="s">
        <v>1264</v>
      </c>
      <c r="E376" s="1">
        <f>IF(COUNTIFS($A$2:A376,A376,$B$2:B376,B376)=1,1,0)</f>
        <v>0</v>
      </c>
      <c r="F376" s="1">
        <f>IF(C376="",0,IF(COUNTIFS($A$2:A376,A376,$B$2:B376,B376,$C$2:C376,C376)=1,1,0))</f>
        <v>1</v>
      </c>
    </row>
    <row r="377" spans="1:6" x14ac:dyDescent="0.2">
      <c r="A377" t="s">
        <v>744</v>
      </c>
      <c r="B377" t="s">
        <v>1063</v>
      </c>
      <c r="C377" t="s">
        <v>1259</v>
      </c>
      <c r="E377" s="1">
        <f>IF(COUNTIFS($A$2:A377,A377,$B$2:B377,B377)=1,1,0)</f>
        <v>0</v>
      </c>
      <c r="F377" s="1">
        <f>IF(C377="",0,IF(COUNTIFS($A$2:A377,A377,$B$2:B377,B377,$C$2:C377,C377)=1,1,0))</f>
        <v>1</v>
      </c>
    </row>
    <row r="378" spans="1:6" x14ac:dyDescent="0.2">
      <c r="A378" t="s">
        <v>747</v>
      </c>
      <c r="B378" t="s">
        <v>1063</v>
      </c>
      <c r="C378" t="s">
        <v>1263</v>
      </c>
      <c r="D378" t="s">
        <v>1264</v>
      </c>
      <c r="E378" s="1">
        <f>IF(COUNTIFS($A$2:A378,A378,$B$2:B378,B378)=1,1,0)</f>
        <v>1</v>
      </c>
      <c r="F378" s="1">
        <f>IF(C378="",0,IF(COUNTIFS($A$2:A378,A378,$B$2:B378,B378,$C$2:C378,C378)=1,1,0))</f>
        <v>1</v>
      </c>
    </row>
    <row r="379" spans="1:6" x14ac:dyDescent="0.2">
      <c r="A379" t="s">
        <v>747</v>
      </c>
      <c r="B379" t="s">
        <v>1063</v>
      </c>
      <c r="C379" t="s">
        <v>1259</v>
      </c>
      <c r="D379" t="s">
        <v>1279</v>
      </c>
      <c r="E379" s="1">
        <f>IF(COUNTIFS($A$2:A379,A379,$B$2:B379,B379)=1,1,0)</f>
        <v>0</v>
      </c>
      <c r="F379" s="1">
        <f>IF(C379="",0,IF(COUNTIFS($A$2:A379,A379,$B$2:B379,B379,$C$2:C379,C379)=1,1,0))</f>
        <v>1</v>
      </c>
    </row>
    <row r="380" spans="1:6" x14ac:dyDescent="0.2">
      <c r="A380" t="s">
        <v>747</v>
      </c>
      <c r="B380" t="s">
        <v>1063</v>
      </c>
      <c r="C380" t="s">
        <v>1251</v>
      </c>
      <c r="D380" t="s">
        <v>1276</v>
      </c>
      <c r="E380" s="1">
        <f>IF(COUNTIFS($A$2:A380,A380,$B$2:B380,B380)=1,1,0)</f>
        <v>0</v>
      </c>
      <c r="F380" s="1">
        <f>IF(C380="",0,IF(COUNTIFS($A$2:A380,A380,$B$2:B380,B380,$C$2:C380,C380)=1,1,0))</f>
        <v>1</v>
      </c>
    </row>
    <row r="381" spans="1:6" x14ac:dyDescent="0.2">
      <c r="A381" t="s">
        <v>750</v>
      </c>
      <c r="B381" t="s">
        <v>1063</v>
      </c>
      <c r="C381" t="s">
        <v>1259</v>
      </c>
      <c r="E381" s="1">
        <f>IF(COUNTIFS($A$2:A381,A381,$B$2:B381,B381)=1,1,0)</f>
        <v>1</v>
      </c>
      <c r="F381" s="1">
        <f>IF(C381="",0,IF(COUNTIFS($A$2:A381,A381,$B$2:B381,B381,$C$2:C381,C381)=1,1,0))</f>
        <v>1</v>
      </c>
    </row>
    <row r="382" spans="1:6" x14ac:dyDescent="0.2">
      <c r="A382" t="s">
        <v>750</v>
      </c>
      <c r="B382" t="s">
        <v>1059</v>
      </c>
      <c r="C382" t="s">
        <v>1265</v>
      </c>
      <c r="D382" t="s">
        <v>1271</v>
      </c>
      <c r="E382" s="1">
        <f>IF(COUNTIFS($A$2:A382,A382,$B$2:B382,B382)=1,1,0)</f>
        <v>1</v>
      </c>
      <c r="F382" s="1">
        <f>IF(C382="",0,IF(COUNTIFS($A$2:A382,A382,$B$2:B382,B382,$C$2:C382,C382)=1,1,0))</f>
        <v>1</v>
      </c>
    </row>
    <row r="383" spans="1:6" x14ac:dyDescent="0.2">
      <c r="A383" t="s">
        <v>750</v>
      </c>
      <c r="B383" t="s">
        <v>1059</v>
      </c>
      <c r="C383" t="s">
        <v>1265</v>
      </c>
      <c r="D383" t="s">
        <v>1266</v>
      </c>
      <c r="E383" s="1">
        <f>IF(COUNTIFS($A$2:A383,A383,$B$2:B383,B383)=1,1,0)</f>
        <v>0</v>
      </c>
      <c r="F383" s="1">
        <f>IF(C383="",0,IF(COUNTIFS($A$2:A383,A383,$B$2:B383,B383,$C$2:C383,C383)=1,1,0))</f>
        <v>0</v>
      </c>
    </row>
    <row r="384" spans="1:6" x14ac:dyDescent="0.2">
      <c r="A384" t="s">
        <v>752</v>
      </c>
      <c r="B384" t="s">
        <v>1063</v>
      </c>
      <c r="C384" t="s">
        <v>1263</v>
      </c>
      <c r="D384" t="s">
        <v>1264</v>
      </c>
      <c r="E384" s="1">
        <f>IF(COUNTIFS($A$2:A384,A384,$B$2:B384,B384)=1,1,0)</f>
        <v>1</v>
      </c>
      <c r="F384" s="1">
        <f>IF(C384="",0,IF(COUNTIFS($A$2:A384,A384,$B$2:B384,B384,$C$2:C384,C384)=1,1,0))</f>
        <v>1</v>
      </c>
    </row>
    <row r="385" spans="1:6" x14ac:dyDescent="0.2">
      <c r="A385" t="s">
        <v>752</v>
      </c>
      <c r="B385" t="s">
        <v>1063</v>
      </c>
      <c r="C385" t="s">
        <v>1251</v>
      </c>
      <c r="D385" t="s">
        <v>1276</v>
      </c>
      <c r="E385" s="1">
        <f>IF(COUNTIFS($A$2:A385,A385,$B$2:B385,B385)=1,1,0)</f>
        <v>0</v>
      </c>
      <c r="F385" s="1">
        <f>IF(C385="",0,IF(COUNTIFS($A$2:A385,A385,$B$2:B385,B385,$C$2:C385,C385)=1,1,0))</f>
        <v>1</v>
      </c>
    </row>
    <row r="386" spans="1:6" x14ac:dyDescent="0.2">
      <c r="A386" t="s">
        <v>752</v>
      </c>
      <c r="B386" t="s">
        <v>1059</v>
      </c>
      <c r="C386" t="s">
        <v>1261</v>
      </c>
      <c r="D386" t="s">
        <v>1262</v>
      </c>
      <c r="E386" s="1">
        <f>IF(COUNTIFS($A$2:A386,A386,$B$2:B386,B386)=1,1,0)</f>
        <v>1</v>
      </c>
      <c r="F386" s="1">
        <f>IF(C386="",0,IF(COUNTIFS($A$2:A386,A386,$B$2:B386,B386,$C$2:C386,C386)=1,1,0))</f>
        <v>1</v>
      </c>
    </row>
    <row r="387" spans="1:6" x14ac:dyDescent="0.2">
      <c r="A387" t="s">
        <v>756</v>
      </c>
      <c r="B387" t="s">
        <v>1061</v>
      </c>
      <c r="C387" t="s">
        <v>1249</v>
      </c>
      <c r="D387" t="s">
        <v>1250</v>
      </c>
      <c r="E387" s="1">
        <f>IF(COUNTIFS($A$2:A387,A387,$B$2:B387,B387)=1,1,0)</f>
        <v>1</v>
      </c>
      <c r="F387" s="1">
        <f>IF(C387="",0,IF(COUNTIFS($A$2:A387,A387,$B$2:B387,B387,$C$2:C387,C387)=1,1,0))</f>
        <v>1</v>
      </c>
    </row>
    <row r="388" spans="1:6" x14ac:dyDescent="0.2">
      <c r="A388" t="s">
        <v>756</v>
      </c>
      <c r="B388" t="s">
        <v>1059</v>
      </c>
      <c r="C388" t="s">
        <v>1244</v>
      </c>
      <c r="D388" t="s">
        <v>1245</v>
      </c>
      <c r="E388" s="1">
        <f>IF(COUNTIFS($A$2:A388,A388,$B$2:B388,B388)=1,1,0)</f>
        <v>1</v>
      </c>
      <c r="F388" s="1">
        <f>IF(C388="",0,IF(COUNTIFS($A$2:A388,A388,$B$2:B388,B388,$C$2:C388,C388)=1,1,0))</f>
        <v>1</v>
      </c>
    </row>
    <row r="389" spans="1:6" x14ac:dyDescent="0.2">
      <c r="A389" t="s">
        <v>756</v>
      </c>
      <c r="B389" t="s">
        <v>1063</v>
      </c>
      <c r="C389" t="s">
        <v>1251</v>
      </c>
      <c r="E389" s="1">
        <f>IF(COUNTIFS($A$2:A389,A389,$B$2:B389,B389)=1,1,0)</f>
        <v>1</v>
      </c>
      <c r="F389" s="1">
        <f>IF(C389="",0,IF(COUNTIFS($A$2:A389,A389,$B$2:B389,B389,$C$2:C389,C389)=1,1,0))</f>
        <v>1</v>
      </c>
    </row>
    <row r="390" spans="1:6" x14ac:dyDescent="0.2">
      <c r="A390" t="s">
        <v>759</v>
      </c>
      <c r="B390" t="s">
        <v>1063</v>
      </c>
      <c r="C390" t="s">
        <v>1263</v>
      </c>
      <c r="D390" t="s">
        <v>1264</v>
      </c>
      <c r="E390" s="1">
        <f>IF(COUNTIFS($A$2:A390,A390,$B$2:B390,B390)=1,1,0)</f>
        <v>1</v>
      </c>
      <c r="F390" s="1">
        <f>IF(C390="",0,IF(COUNTIFS($A$2:A390,A390,$B$2:B390,B390,$C$2:C390,C390)=1,1,0))</f>
        <v>1</v>
      </c>
    </row>
    <row r="391" spans="1:6" x14ac:dyDescent="0.2">
      <c r="A391" t="s">
        <v>759</v>
      </c>
      <c r="B391" t="s">
        <v>1063</v>
      </c>
      <c r="C391" t="s">
        <v>1251</v>
      </c>
      <c r="D391" t="s">
        <v>1276</v>
      </c>
      <c r="E391" s="1">
        <f>IF(COUNTIFS($A$2:A391,A391,$B$2:B391,B391)=1,1,0)</f>
        <v>0</v>
      </c>
      <c r="F391" s="1">
        <f>IF(C391="",0,IF(COUNTIFS($A$2:A391,A391,$B$2:B391,B391,$C$2:C391,C391)=1,1,0))</f>
        <v>1</v>
      </c>
    </row>
    <row r="392" spans="1:6" x14ac:dyDescent="0.2">
      <c r="A392" t="s">
        <v>759</v>
      </c>
      <c r="B392" t="s">
        <v>1063</v>
      </c>
      <c r="C392" t="s">
        <v>1259</v>
      </c>
      <c r="E392" s="1">
        <f>IF(COUNTIFS($A$2:A392,A392,$B$2:B392,B392)=1,1,0)</f>
        <v>0</v>
      </c>
      <c r="F392" s="1">
        <f>IF(C392="",0,IF(COUNTIFS($A$2:A392,A392,$B$2:B392,B392,$C$2:C392,C392)=1,1,0))</f>
        <v>1</v>
      </c>
    </row>
    <row r="393" spans="1:6" x14ac:dyDescent="0.2">
      <c r="A393" t="s">
        <v>762</v>
      </c>
      <c r="B393" t="s">
        <v>1061</v>
      </c>
      <c r="C393" t="s">
        <v>1249</v>
      </c>
      <c r="D393" t="s">
        <v>1257</v>
      </c>
      <c r="E393" s="1">
        <f>IF(COUNTIFS($A$2:A393,A393,$B$2:B393,B393)=1,1,0)</f>
        <v>1</v>
      </c>
      <c r="F393" s="1">
        <f>IF(C393="",0,IF(COUNTIFS($A$2:A393,A393,$B$2:B393,B393,$C$2:C393,C393)=1,1,0))</f>
        <v>1</v>
      </c>
    </row>
    <row r="394" spans="1:6" x14ac:dyDescent="0.2">
      <c r="A394" t="s">
        <v>762</v>
      </c>
      <c r="B394" t="s">
        <v>1063</v>
      </c>
      <c r="C394" t="s">
        <v>1251</v>
      </c>
      <c r="D394" t="s">
        <v>1276</v>
      </c>
      <c r="E394" s="1">
        <f>IF(COUNTIFS($A$2:A394,A394,$B$2:B394,B394)=1,1,0)</f>
        <v>1</v>
      </c>
      <c r="F394" s="1">
        <f>IF(C394="",0,IF(COUNTIFS($A$2:A394,A394,$B$2:B394,B394,$C$2:C394,C394)=1,1,0))</f>
        <v>1</v>
      </c>
    </row>
    <row r="395" spans="1:6" x14ac:dyDescent="0.2">
      <c r="A395" t="s">
        <v>762</v>
      </c>
      <c r="B395" t="s">
        <v>1061</v>
      </c>
      <c r="C395" t="s">
        <v>1249</v>
      </c>
      <c r="D395" t="s">
        <v>1250</v>
      </c>
      <c r="E395" s="1">
        <f>IF(COUNTIFS($A$2:A395,A395,$B$2:B395,B395)=1,1,0)</f>
        <v>0</v>
      </c>
      <c r="F395" s="1">
        <f>IF(C395="",0,IF(COUNTIFS($A$2:A395,A395,$B$2:B395,B395,$C$2:C395,C395)=1,1,0))</f>
        <v>0</v>
      </c>
    </row>
    <row r="396" spans="1:6" x14ac:dyDescent="0.2">
      <c r="A396" t="s">
        <v>765</v>
      </c>
      <c r="B396" t="s">
        <v>1061</v>
      </c>
      <c r="C396" t="s">
        <v>1249</v>
      </c>
      <c r="D396" t="s">
        <v>1278</v>
      </c>
      <c r="E396" s="1">
        <f>IF(COUNTIFS($A$2:A396,A396,$B$2:B396,B396)=1,1,0)</f>
        <v>1</v>
      </c>
      <c r="F396" s="1">
        <f>IF(C396="",0,IF(COUNTIFS($A$2:A396,A396,$B$2:B396,B396,$C$2:C396,C396)=1,1,0))</f>
        <v>1</v>
      </c>
    </row>
    <row r="397" spans="1:6" x14ac:dyDescent="0.2">
      <c r="A397" t="s">
        <v>765</v>
      </c>
      <c r="B397" t="s">
        <v>1059</v>
      </c>
      <c r="C397" t="s">
        <v>1261</v>
      </c>
      <c r="D397" t="s">
        <v>1273</v>
      </c>
      <c r="E397" s="1">
        <f>IF(COUNTIFS($A$2:A397,A397,$B$2:B397,B397)=1,1,0)</f>
        <v>1</v>
      </c>
      <c r="F397" s="1">
        <f>IF(C397="",0,IF(COUNTIFS($A$2:A397,A397,$B$2:B397,B397,$C$2:C397,C397)=1,1,0))</f>
        <v>1</v>
      </c>
    </row>
    <row r="398" spans="1:6" x14ac:dyDescent="0.2">
      <c r="A398" t="s">
        <v>769</v>
      </c>
      <c r="B398" t="s">
        <v>1063</v>
      </c>
      <c r="C398" t="s">
        <v>1263</v>
      </c>
      <c r="D398" t="s">
        <v>1264</v>
      </c>
      <c r="E398" s="1">
        <f>IF(COUNTIFS($A$2:A398,A398,$B$2:B398,B398)=1,1,0)</f>
        <v>1</v>
      </c>
      <c r="F398" s="1">
        <f>IF(C398="",0,IF(COUNTIFS($A$2:A398,A398,$B$2:B398,B398,$C$2:C398,C398)=1,1,0))</f>
        <v>1</v>
      </c>
    </row>
    <row r="399" spans="1:6" x14ac:dyDescent="0.2">
      <c r="A399" t="s">
        <v>769</v>
      </c>
      <c r="B399" t="s">
        <v>1063</v>
      </c>
      <c r="C399" t="s">
        <v>1251</v>
      </c>
      <c r="D399" t="s">
        <v>1276</v>
      </c>
      <c r="E399" s="1">
        <f>IF(COUNTIFS($A$2:A399,A399,$B$2:B399,B399)=1,1,0)</f>
        <v>0</v>
      </c>
      <c r="F399" s="1">
        <f>IF(C399="",0,IF(COUNTIFS($A$2:A399,A399,$B$2:B399,B399,$C$2:C399,C399)=1,1,0))</f>
        <v>1</v>
      </c>
    </row>
    <row r="400" spans="1:6" x14ac:dyDescent="0.2">
      <c r="A400" t="s">
        <v>769</v>
      </c>
      <c r="B400" t="s">
        <v>1063</v>
      </c>
      <c r="C400" t="s">
        <v>1259</v>
      </c>
      <c r="D400" t="s">
        <v>1274</v>
      </c>
      <c r="E400" s="1">
        <f>IF(COUNTIFS($A$2:A400,A400,$B$2:B400,B400)=1,1,0)</f>
        <v>0</v>
      </c>
      <c r="F400" s="1">
        <f>IF(C400="",0,IF(COUNTIFS($A$2:A400,A400,$B$2:B400,B400,$C$2:C400,C400)=1,1,0))</f>
        <v>1</v>
      </c>
    </row>
    <row r="401" spans="1:6" x14ac:dyDescent="0.2">
      <c r="A401" t="s">
        <v>772</v>
      </c>
      <c r="B401" t="s">
        <v>1063</v>
      </c>
      <c r="C401" t="s">
        <v>1263</v>
      </c>
      <c r="D401" t="s">
        <v>1264</v>
      </c>
      <c r="E401" s="1">
        <f>IF(COUNTIFS($A$2:A401,A401,$B$2:B401,B401)=1,1,0)</f>
        <v>1</v>
      </c>
      <c r="F401" s="1">
        <f>IF(C401="",0,IF(COUNTIFS($A$2:A401,A401,$B$2:B401,B401,$C$2:C401,C401)=1,1,0))</f>
        <v>1</v>
      </c>
    </row>
    <row r="402" spans="1:6" x14ac:dyDescent="0.2">
      <c r="A402" t="s">
        <v>772</v>
      </c>
      <c r="B402" t="s">
        <v>1063</v>
      </c>
      <c r="C402" t="s">
        <v>1251</v>
      </c>
      <c r="D402" t="s">
        <v>1252</v>
      </c>
      <c r="E402" s="1">
        <f>IF(COUNTIFS($A$2:A402,A402,$B$2:B402,B402)=1,1,0)</f>
        <v>0</v>
      </c>
      <c r="F402" s="1">
        <f>IF(C402="",0,IF(COUNTIFS($A$2:A402,A402,$B$2:B402,B402,$C$2:C402,C402)=1,1,0))</f>
        <v>1</v>
      </c>
    </row>
    <row r="403" spans="1:6" x14ac:dyDescent="0.2">
      <c r="A403" t="s">
        <v>772</v>
      </c>
      <c r="B403" t="s">
        <v>1063</v>
      </c>
      <c r="C403" t="s">
        <v>1259</v>
      </c>
      <c r="D403" t="s">
        <v>1274</v>
      </c>
      <c r="E403" s="1">
        <f>IF(COUNTIFS($A$2:A403,A403,$B$2:B403,B403)=1,1,0)</f>
        <v>0</v>
      </c>
      <c r="F403" s="1">
        <f>IF(C403="",0,IF(COUNTIFS($A$2:A403,A403,$B$2:B403,B403,$C$2:C403,C403)=1,1,0))</f>
        <v>1</v>
      </c>
    </row>
    <row r="404" spans="1:6" x14ac:dyDescent="0.2">
      <c r="A404" t="s">
        <v>772</v>
      </c>
      <c r="B404" t="s">
        <v>1059</v>
      </c>
      <c r="C404" t="s">
        <v>1246</v>
      </c>
      <c r="D404" t="s">
        <v>1247</v>
      </c>
      <c r="E404" s="1">
        <f>IF(COUNTIFS($A$2:A404,A404,$B$2:B404,B404)=1,1,0)</f>
        <v>1</v>
      </c>
      <c r="F404" s="1">
        <f>IF(C404="",0,IF(COUNTIFS($A$2:A404,A404,$B$2:B404,B404,$C$2:C404,C404)=1,1,0))</f>
        <v>1</v>
      </c>
    </row>
    <row r="405" spans="1:6" x14ac:dyDescent="0.2">
      <c r="A405" t="s">
        <v>776</v>
      </c>
      <c r="B405" t="s">
        <v>1063</v>
      </c>
      <c r="C405" t="s">
        <v>1259</v>
      </c>
      <c r="D405" t="s">
        <v>1274</v>
      </c>
      <c r="E405" s="1">
        <f>IF(COUNTIFS($A$2:A405,A405,$B$2:B405,B405)=1,1,0)</f>
        <v>1</v>
      </c>
      <c r="F405" s="1">
        <f>IF(C405="",0,IF(COUNTIFS($A$2:A405,A405,$B$2:B405,B405,$C$2:C405,C405)=1,1,0))</f>
        <v>1</v>
      </c>
    </row>
    <row r="406" spans="1:6" x14ac:dyDescent="0.2">
      <c r="A406" t="s">
        <v>779</v>
      </c>
      <c r="B406" t="s">
        <v>1063</v>
      </c>
      <c r="C406" t="s">
        <v>1263</v>
      </c>
      <c r="D406" t="s">
        <v>1264</v>
      </c>
      <c r="E406" s="1">
        <f>IF(COUNTIFS($A$2:A406,A406,$B$2:B406,B406)=1,1,0)</f>
        <v>1</v>
      </c>
      <c r="F406" s="1">
        <f>IF(C406="",0,IF(COUNTIFS($A$2:A406,A406,$B$2:B406,B406,$C$2:C406,C406)=1,1,0))</f>
        <v>1</v>
      </c>
    </row>
    <row r="407" spans="1:6" x14ac:dyDescent="0.2">
      <c r="A407" t="s">
        <v>779</v>
      </c>
      <c r="B407" t="s">
        <v>1063</v>
      </c>
      <c r="C407" t="s">
        <v>1251</v>
      </c>
      <c r="D407" t="s">
        <v>1258</v>
      </c>
      <c r="E407" s="1">
        <f>IF(COUNTIFS($A$2:A407,A407,$B$2:B407,B407)=1,1,0)</f>
        <v>0</v>
      </c>
      <c r="F407" s="1">
        <f>IF(C407="",0,IF(COUNTIFS($A$2:A407,A407,$B$2:B407,B407,$C$2:C407,C407)=1,1,0))</f>
        <v>1</v>
      </c>
    </row>
    <row r="408" spans="1:6" x14ac:dyDescent="0.2">
      <c r="A408" t="s">
        <v>779</v>
      </c>
      <c r="B408" t="s">
        <v>1063</v>
      </c>
      <c r="C408" t="s">
        <v>1251</v>
      </c>
      <c r="D408" t="s">
        <v>1276</v>
      </c>
      <c r="E408" s="1">
        <f>IF(COUNTIFS($A$2:A408,A408,$B$2:B408,B408)=1,1,0)</f>
        <v>0</v>
      </c>
      <c r="F408" s="1">
        <f>IF(C408="",0,IF(COUNTIFS($A$2:A408,A408,$B$2:B408,B408,$C$2:C408,C408)=1,1,0))</f>
        <v>0</v>
      </c>
    </row>
    <row r="409" spans="1:6" x14ac:dyDescent="0.2">
      <c r="A409" t="s">
        <v>779</v>
      </c>
      <c r="B409" t="s">
        <v>1059</v>
      </c>
      <c r="C409" t="s">
        <v>1261</v>
      </c>
      <c r="D409" t="s">
        <v>1272</v>
      </c>
      <c r="E409" s="1">
        <f>IF(COUNTIFS($A$2:A409,A409,$B$2:B409,B409)=1,1,0)</f>
        <v>1</v>
      </c>
      <c r="F409" s="1">
        <f>IF(C409="",0,IF(COUNTIFS($A$2:A409,A409,$B$2:B409,B409,$C$2:C409,C409)=1,1,0))</f>
        <v>1</v>
      </c>
    </row>
    <row r="410" spans="1:6" x14ac:dyDescent="0.2">
      <c r="A410" t="s">
        <v>783</v>
      </c>
      <c r="B410" t="s">
        <v>1059</v>
      </c>
      <c r="C410" t="s">
        <v>1261</v>
      </c>
      <c r="D410" t="s">
        <v>1262</v>
      </c>
      <c r="E410" s="1">
        <f>IF(COUNTIFS($A$2:A410,A410,$B$2:B410,B410)=1,1,0)</f>
        <v>1</v>
      </c>
      <c r="F410" s="1">
        <f>IF(C410="",0,IF(COUNTIFS($A$2:A410,A410,$B$2:B410,B410,$C$2:C410,C410)=1,1,0))</f>
        <v>1</v>
      </c>
    </row>
    <row r="411" spans="1:6" x14ac:dyDescent="0.2">
      <c r="A411" t="s">
        <v>786</v>
      </c>
      <c r="B411" t="s">
        <v>1061</v>
      </c>
      <c r="C411" t="s">
        <v>1268</v>
      </c>
      <c r="D411" t="s">
        <v>1269</v>
      </c>
      <c r="E411" s="1">
        <f>IF(COUNTIFS($A$2:A411,A411,$B$2:B411,B411)=1,1,0)</f>
        <v>1</v>
      </c>
      <c r="F411" s="1">
        <f>IF(C411="",0,IF(COUNTIFS($A$2:A411,A411,$B$2:B411,B411,$C$2:C411,C411)=1,1,0))</f>
        <v>1</v>
      </c>
    </row>
    <row r="412" spans="1:6" x14ac:dyDescent="0.2">
      <c r="A412" t="s">
        <v>786</v>
      </c>
      <c r="B412" t="s">
        <v>1063</v>
      </c>
      <c r="C412" t="s">
        <v>1263</v>
      </c>
      <c r="D412" t="s">
        <v>1264</v>
      </c>
      <c r="E412" s="1">
        <f>IF(COUNTIFS($A$2:A412,A412,$B$2:B412,B412)=1,1,0)</f>
        <v>1</v>
      </c>
      <c r="F412" s="1">
        <f>IF(C412="",0,IF(COUNTIFS($A$2:A412,A412,$B$2:B412,B412,$C$2:C412,C412)=1,1,0))</f>
        <v>1</v>
      </c>
    </row>
    <row r="413" spans="1:6" x14ac:dyDescent="0.2">
      <c r="A413" t="s">
        <v>790</v>
      </c>
      <c r="B413" t="s">
        <v>1061</v>
      </c>
      <c r="C413" t="s">
        <v>1249</v>
      </c>
      <c r="D413" t="s">
        <v>1250</v>
      </c>
      <c r="E413" s="1">
        <f>IF(COUNTIFS($A$2:A413,A413,$B$2:B413,B413)=1,1,0)</f>
        <v>1</v>
      </c>
      <c r="F413" s="1">
        <f>IF(C413="",0,IF(COUNTIFS($A$2:A413,A413,$B$2:B413,B413,$C$2:C413,C413)=1,1,0))</f>
        <v>1</v>
      </c>
    </row>
    <row r="414" spans="1:6" x14ac:dyDescent="0.2">
      <c r="A414" t="s">
        <v>790</v>
      </c>
      <c r="B414" t="s">
        <v>1059</v>
      </c>
      <c r="C414" t="s">
        <v>1244</v>
      </c>
      <c r="D414" t="s">
        <v>1245</v>
      </c>
      <c r="E414" s="1">
        <f>IF(COUNTIFS($A$2:A414,A414,$B$2:B414,B414)=1,1,0)</f>
        <v>1</v>
      </c>
      <c r="F414" s="1">
        <f>IF(C414="",0,IF(COUNTIFS($A$2:A414,A414,$B$2:B414,B414,$C$2:C414,C414)=1,1,0))</f>
        <v>1</v>
      </c>
    </row>
    <row r="415" spans="1:6" x14ac:dyDescent="0.2">
      <c r="A415" t="s">
        <v>793</v>
      </c>
      <c r="B415" t="s">
        <v>1063</v>
      </c>
      <c r="C415" t="s">
        <v>1263</v>
      </c>
      <c r="D415" t="s">
        <v>1264</v>
      </c>
      <c r="E415" s="1">
        <f>IF(COUNTIFS($A$2:A415,A415,$B$2:B415,B415)=1,1,0)</f>
        <v>1</v>
      </c>
      <c r="F415" s="1">
        <f>IF(C415="",0,IF(COUNTIFS($A$2:A415,A415,$B$2:B415,B415,$C$2:C415,C415)=1,1,0))</f>
        <v>1</v>
      </c>
    </row>
    <row r="416" spans="1:6" x14ac:dyDescent="0.2">
      <c r="A416" t="s">
        <v>793</v>
      </c>
      <c r="B416" t="s">
        <v>1061</v>
      </c>
      <c r="C416" t="s">
        <v>1268</v>
      </c>
      <c r="D416" t="s">
        <v>1277</v>
      </c>
      <c r="E416" s="1">
        <f>IF(COUNTIFS($A$2:A416,A416,$B$2:B416,B416)=1,1,0)</f>
        <v>1</v>
      </c>
      <c r="F416" s="1">
        <f>IF(C416="",0,IF(COUNTIFS($A$2:A416,A416,$B$2:B416,B416,$C$2:C416,C416)=1,1,0))</f>
        <v>1</v>
      </c>
    </row>
    <row r="417" spans="1:6" x14ac:dyDescent="0.2">
      <c r="A417" t="s">
        <v>793</v>
      </c>
      <c r="B417" t="s">
        <v>1059</v>
      </c>
      <c r="C417" t="s">
        <v>1261</v>
      </c>
      <c r="D417" t="s">
        <v>1272</v>
      </c>
      <c r="E417" s="1">
        <f>IF(COUNTIFS($A$2:A417,A417,$B$2:B417,B417)=1,1,0)</f>
        <v>1</v>
      </c>
      <c r="F417" s="1">
        <f>IF(C417="",0,IF(COUNTIFS($A$2:A417,A417,$B$2:B417,B417,$C$2:C417,C417)=1,1,0))</f>
        <v>1</v>
      </c>
    </row>
    <row r="418" spans="1:6" x14ac:dyDescent="0.2">
      <c r="A418" t="s">
        <v>796</v>
      </c>
      <c r="B418" t="s">
        <v>1059</v>
      </c>
      <c r="C418" t="s">
        <v>1265</v>
      </c>
      <c r="D418" t="s">
        <v>1271</v>
      </c>
      <c r="E418" s="1">
        <f>IF(COUNTIFS($A$2:A418,A418,$B$2:B418,B418)=1,1,0)</f>
        <v>1</v>
      </c>
      <c r="F418" s="1">
        <f>IF(C418="",0,IF(COUNTIFS($A$2:A418,A418,$B$2:B418,B418,$C$2:C418,C418)=1,1,0))</f>
        <v>1</v>
      </c>
    </row>
    <row r="419" spans="1:6" x14ac:dyDescent="0.2">
      <c r="A419" t="s">
        <v>799</v>
      </c>
      <c r="B419" t="s">
        <v>1059</v>
      </c>
      <c r="C419" t="s">
        <v>1265</v>
      </c>
      <c r="D419" t="s">
        <v>1271</v>
      </c>
      <c r="E419" s="1">
        <f>IF(COUNTIFS($A$2:A419,A419,$B$2:B419,B419)=1,1,0)</f>
        <v>1</v>
      </c>
      <c r="F419" s="1">
        <f>IF(C419="",0,IF(COUNTIFS($A$2:A419,A419,$B$2:B419,B419,$C$2:C419,C419)=1,1,0))</f>
        <v>1</v>
      </c>
    </row>
    <row r="420" spans="1:6" x14ac:dyDescent="0.2">
      <c r="A420" t="s">
        <v>801</v>
      </c>
      <c r="B420" t="s">
        <v>1059</v>
      </c>
      <c r="C420" t="s">
        <v>1265</v>
      </c>
      <c r="D420" t="s">
        <v>1271</v>
      </c>
      <c r="E420" s="1">
        <f>IF(COUNTIFS($A$2:A420,A420,$B$2:B420,B420)=1,1,0)</f>
        <v>1</v>
      </c>
      <c r="F420" s="1">
        <f>IF(C420="",0,IF(COUNTIFS($A$2:A420,A420,$B$2:B420,B420,$C$2:C420,C420)=1,1,0))</f>
        <v>1</v>
      </c>
    </row>
    <row r="421" spans="1:6" x14ac:dyDescent="0.2">
      <c r="A421" t="s">
        <v>804</v>
      </c>
      <c r="B421" t="s">
        <v>1063</v>
      </c>
      <c r="C421" t="s">
        <v>1263</v>
      </c>
      <c r="D421" t="s">
        <v>1264</v>
      </c>
      <c r="E421" s="1">
        <f>IF(COUNTIFS($A$2:A421,A421,$B$2:B421,B421)=1,1,0)</f>
        <v>1</v>
      </c>
      <c r="F421" s="1">
        <f>IF(C421="",0,IF(COUNTIFS($A$2:A421,A421,$B$2:B421,B421,$C$2:C421,C421)=1,1,0))</f>
        <v>1</v>
      </c>
    </row>
    <row r="422" spans="1:6" x14ac:dyDescent="0.2">
      <c r="A422" t="s">
        <v>804</v>
      </c>
      <c r="B422" t="s">
        <v>1063</v>
      </c>
      <c r="C422" t="s">
        <v>1251</v>
      </c>
      <c r="D422" t="s">
        <v>1252</v>
      </c>
      <c r="E422" s="1">
        <f>IF(COUNTIFS($A$2:A422,A422,$B$2:B422,B422)=1,1,0)</f>
        <v>0</v>
      </c>
      <c r="F422" s="1">
        <f>IF(C422="",0,IF(COUNTIFS($A$2:A422,A422,$B$2:B422,B422,$C$2:C422,C422)=1,1,0))</f>
        <v>1</v>
      </c>
    </row>
    <row r="423" spans="1:6" x14ac:dyDescent="0.2">
      <c r="A423" t="s">
        <v>807</v>
      </c>
      <c r="B423" t="s">
        <v>1060</v>
      </c>
      <c r="E423" s="1">
        <f>IF(COUNTIFS($A$2:A423,A423,$B$2:B423,B423)=1,1,0)</f>
        <v>1</v>
      </c>
      <c r="F423" s="1">
        <f>IF(C423="",0,IF(COUNTIFS($A$2:A423,A423,$B$2:B423,B423,$C$2:C423,C423)=1,1,0))</f>
        <v>0</v>
      </c>
    </row>
    <row r="424" spans="1:6" x14ac:dyDescent="0.2">
      <c r="A424" t="s">
        <v>810</v>
      </c>
      <c r="B424" t="s">
        <v>1061</v>
      </c>
      <c r="C424" t="s">
        <v>1249</v>
      </c>
      <c r="D424" t="s">
        <v>1250</v>
      </c>
      <c r="E424" s="1">
        <f>IF(COUNTIFS($A$2:A424,A424,$B$2:B424,B424)=1,1,0)</f>
        <v>1</v>
      </c>
      <c r="F424" s="1">
        <f>IF(C424="",0,IF(COUNTIFS($A$2:A424,A424,$B$2:B424,B424,$C$2:C424,C424)=1,1,0))</f>
        <v>1</v>
      </c>
    </row>
    <row r="425" spans="1:6" x14ac:dyDescent="0.2">
      <c r="A425" t="s">
        <v>810</v>
      </c>
      <c r="B425" t="s">
        <v>1063</v>
      </c>
      <c r="C425" t="s">
        <v>1263</v>
      </c>
      <c r="D425" t="s">
        <v>1264</v>
      </c>
      <c r="E425" s="1">
        <f>IF(COUNTIFS($A$2:A425,A425,$B$2:B425,B425)=1,1,0)</f>
        <v>1</v>
      </c>
      <c r="F425" s="1">
        <f>IF(C425="",0,IF(COUNTIFS($A$2:A425,A425,$B$2:B425,B425,$C$2:C425,C425)=1,1,0))</f>
        <v>1</v>
      </c>
    </row>
    <row r="426" spans="1:6" x14ac:dyDescent="0.2">
      <c r="A426" t="s">
        <v>810</v>
      </c>
      <c r="B426" t="s">
        <v>1059</v>
      </c>
      <c r="C426" t="s">
        <v>1255</v>
      </c>
      <c r="D426" t="s">
        <v>1270</v>
      </c>
      <c r="E426" s="1">
        <f>IF(COUNTIFS($A$2:A426,A426,$B$2:B426,B426)=1,1,0)</f>
        <v>1</v>
      </c>
      <c r="F426" s="1">
        <f>IF(C426="",0,IF(COUNTIFS($A$2:A426,A426,$B$2:B426,B426,$C$2:C426,C426)=1,1,0))</f>
        <v>1</v>
      </c>
    </row>
    <row r="427" spans="1:6" x14ac:dyDescent="0.2">
      <c r="A427" t="s">
        <v>810</v>
      </c>
      <c r="B427" t="s">
        <v>1059</v>
      </c>
      <c r="C427" t="s">
        <v>1253</v>
      </c>
      <c r="D427" t="s">
        <v>1254</v>
      </c>
      <c r="E427" s="1">
        <f>IF(COUNTIFS($A$2:A427,A427,$B$2:B427,B427)=1,1,0)</f>
        <v>0</v>
      </c>
      <c r="F427" s="1">
        <f>IF(C427="",0,IF(COUNTIFS($A$2:A427,A427,$B$2:B427,B427,$C$2:C427,C427)=1,1,0))</f>
        <v>1</v>
      </c>
    </row>
    <row r="428" spans="1:6" x14ac:dyDescent="0.2">
      <c r="A428" t="s">
        <v>814</v>
      </c>
      <c r="B428" t="s">
        <v>1059</v>
      </c>
      <c r="C428" t="s">
        <v>1265</v>
      </c>
      <c r="D428" t="s">
        <v>1271</v>
      </c>
      <c r="E428" s="1">
        <f>IF(COUNTIFS($A$2:A428,A428,$B$2:B428,B428)=1,1,0)</f>
        <v>1</v>
      </c>
      <c r="F428" s="1">
        <f>IF(C428="",0,IF(COUNTIFS($A$2:A428,A428,$B$2:B428,B428,$C$2:C428,C428)=1,1,0))</f>
        <v>1</v>
      </c>
    </row>
    <row r="429" spans="1:6" x14ac:dyDescent="0.2">
      <c r="A429" t="s">
        <v>814</v>
      </c>
      <c r="B429" t="s">
        <v>1059</v>
      </c>
      <c r="C429" t="s">
        <v>1246</v>
      </c>
      <c r="D429" t="s">
        <v>1260</v>
      </c>
      <c r="E429" s="1">
        <f>IF(COUNTIFS($A$2:A429,A429,$B$2:B429,B429)=1,1,0)</f>
        <v>0</v>
      </c>
      <c r="F429" s="1">
        <f>IF(C429="",0,IF(COUNTIFS($A$2:A429,A429,$B$2:B429,B429,$C$2:C429,C429)=1,1,0))</f>
        <v>1</v>
      </c>
    </row>
    <row r="430" spans="1:6" x14ac:dyDescent="0.2">
      <c r="A430" t="s">
        <v>816</v>
      </c>
      <c r="B430" t="s">
        <v>1061</v>
      </c>
      <c r="C430" t="s">
        <v>1249</v>
      </c>
      <c r="D430" t="s">
        <v>1250</v>
      </c>
      <c r="E430" s="1">
        <f>IF(COUNTIFS($A$2:A430,A430,$B$2:B430,B430)=1,1,0)</f>
        <v>1</v>
      </c>
      <c r="F430" s="1">
        <f>IF(C430="",0,IF(COUNTIFS($A$2:A430,A430,$B$2:B430,B430,$C$2:C430,C430)=1,1,0))</f>
        <v>1</v>
      </c>
    </row>
    <row r="431" spans="1:6" x14ac:dyDescent="0.2">
      <c r="A431" t="s">
        <v>816</v>
      </c>
      <c r="B431" t="s">
        <v>1059</v>
      </c>
      <c r="C431" t="s">
        <v>1265</v>
      </c>
      <c r="D431" t="s">
        <v>1266</v>
      </c>
      <c r="E431" s="1">
        <f>IF(COUNTIFS($A$2:A431,A431,$B$2:B431,B431)=1,1,0)</f>
        <v>1</v>
      </c>
      <c r="F431" s="1">
        <f>IF(C431="",0,IF(COUNTIFS($A$2:A431,A431,$B$2:B431,B431,$C$2:C431,C431)=1,1,0))</f>
        <v>1</v>
      </c>
    </row>
    <row r="432" spans="1:6" x14ac:dyDescent="0.2">
      <c r="A432" t="s">
        <v>819</v>
      </c>
      <c r="B432" t="s">
        <v>1061</v>
      </c>
      <c r="C432" t="s">
        <v>1249</v>
      </c>
      <c r="D432" t="s">
        <v>1250</v>
      </c>
      <c r="E432" s="1">
        <f>IF(COUNTIFS($A$2:A432,A432,$B$2:B432,B432)=1,1,0)</f>
        <v>1</v>
      </c>
      <c r="F432" s="1">
        <f>IF(C432="",0,IF(COUNTIFS($A$2:A432,A432,$B$2:B432,B432,$C$2:C432,C432)=1,1,0))</f>
        <v>1</v>
      </c>
    </row>
    <row r="433" spans="1:6" x14ac:dyDescent="0.2">
      <c r="A433" t="s">
        <v>822</v>
      </c>
      <c r="B433" t="s">
        <v>1063</v>
      </c>
      <c r="C433" t="s">
        <v>1251</v>
      </c>
      <c r="D433" t="s">
        <v>1276</v>
      </c>
      <c r="E433" s="1">
        <f>IF(COUNTIFS($A$2:A433,A433,$B$2:B433,B433)=1,1,0)</f>
        <v>1</v>
      </c>
      <c r="F433" s="1">
        <f>IF(C433="",0,IF(COUNTIFS($A$2:A433,A433,$B$2:B433,B433,$C$2:C433,C433)=1,1,0))</f>
        <v>1</v>
      </c>
    </row>
    <row r="434" spans="1:6" x14ac:dyDescent="0.2">
      <c r="A434" t="s">
        <v>822</v>
      </c>
      <c r="B434" t="s">
        <v>1063</v>
      </c>
      <c r="C434" t="s">
        <v>1263</v>
      </c>
      <c r="D434" t="s">
        <v>1264</v>
      </c>
      <c r="E434" s="1">
        <f>IF(COUNTIFS($A$2:A434,A434,$B$2:B434,B434)=1,1,0)</f>
        <v>0</v>
      </c>
      <c r="F434" s="1">
        <f>IF(C434="",0,IF(COUNTIFS($A$2:A434,A434,$B$2:B434,B434,$C$2:C434,C434)=1,1,0))</f>
        <v>1</v>
      </c>
    </row>
    <row r="435" spans="1:6" x14ac:dyDescent="0.2">
      <c r="A435" t="s">
        <v>822</v>
      </c>
      <c r="B435" t="s">
        <v>1063</v>
      </c>
      <c r="C435" t="s">
        <v>1259</v>
      </c>
      <c r="E435" s="1">
        <f>IF(COUNTIFS($A$2:A435,A435,$B$2:B435,B435)=1,1,0)</f>
        <v>0</v>
      </c>
      <c r="F435" s="1">
        <f>IF(C435="",0,IF(COUNTIFS($A$2:A435,A435,$B$2:B435,B435,$C$2:C435,C435)=1,1,0))</f>
        <v>1</v>
      </c>
    </row>
    <row r="436" spans="1:6" x14ac:dyDescent="0.2">
      <c r="A436" t="s">
        <v>825</v>
      </c>
      <c r="B436" t="s">
        <v>1061</v>
      </c>
      <c r="C436" t="s">
        <v>1249</v>
      </c>
      <c r="D436" t="s">
        <v>1257</v>
      </c>
      <c r="E436" s="1">
        <f>IF(COUNTIFS($A$2:A436,A436,$B$2:B436,B436)=1,1,0)</f>
        <v>1</v>
      </c>
      <c r="F436" s="1">
        <f>IF(C436="",0,IF(COUNTIFS($A$2:A436,A436,$B$2:B436,B436,$C$2:C436,C436)=1,1,0))</f>
        <v>1</v>
      </c>
    </row>
    <row r="437" spans="1:6" x14ac:dyDescent="0.2">
      <c r="A437" t="s">
        <v>825</v>
      </c>
      <c r="B437" t="s">
        <v>1061</v>
      </c>
      <c r="C437" t="s">
        <v>1249</v>
      </c>
      <c r="D437" t="s">
        <v>1278</v>
      </c>
      <c r="E437" s="1">
        <f>IF(COUNTIFS($A$2:A437,A437,$B$2:B437,B437)=1,1,0)</f>
        <v>0</v>
      </c>
      <c r="F437" s="1">
        <f>IF(C437="",0,IF(COUNTIFS($A$2:A437,A437,$B$2:B437,B437,$C$2:C437,C437)=1,1,0))</f>
        <v>0</v>
      </c>
    </row>
    <row r="438" spans="1:6" x14ac:dyDescent="0.2">
      <c r="A438" t="s">
        <v>825</v>
      </c>
      <c r="B438" t="s">
        <v>1063</v>
      </c>
      <c r="C438" t="s">
        <v>1251</v>
      </c>
      <c r="D438" t="s">
        <v>1276</v>
      </c>
      <c r="E438" s="1">
        <f>IF(COUNTIFS($A$2:A438,A438,$B$2:B438,B438)=1,1,0)</f>
        <v>1</v>
      </c>
      <c r="F438" s="1">
        <f>IF(C438="",0,IF(COUNTIFS($A$2:A438,A438,$B$2:B438,B438,$C$2:C438,C438)=1,1,0))</f>
        <v>1</v>
      </c>
    </row>
    <row r="439" spans="1:6" x14ac:dyDescent="0.2">
      <c r="A439" t="s">
        <v>825</v>
      </c>
      <c r="B439" t="s">
        <v>1063</v>
      </c>
      <c r="C439" t="s">
        <v>1259</v>
      </c>
      <c r="E439" s="1">
        <f>IF(COUNTIFS($A$2:A439,A439,$B$2:B439,B439)=1,1,0)</f>
        <v>0</v>
      </c>
      <c r="F439" s="1">
        <f>IF(C439="",0,IF(COUNTIFS($A$2:A439,A439,$B$2:B439,B439,$C$2:C439,C439)=1,1,0))</f>
        <v>1</v>
      </c>
    </row>
    <row r="440" spans="1:6" x14ac:dyDescent="0.2">
      <c r="A440" t="s">
        <v>825</v>
      </c>
      <c r="B440" t="s">
        <v>1059</v>
      </c>
      <c r="C440" t="s">
        <v>1246</v>
      </c>
      <c r="D440" t="s">
        <v>1247</v>
      </c>
      <c r="E440" s="1">
        <f>IF(COUNTIFS($A$2:A440,A440,$B$2:B440,B440)=1,1,0)</f>
        <v>1</v>
      </c>
      <c r="F440" s="1">
        <f>IF(C440="",0,IF(COUNTIFS($A$2:A440,A440,$B$2:B440,B440,$C$2:C440,C440)=1,1,0))</f>
        <v>1</v>
      </c>
    </row>
    <row r="441" spans="1:6" x14ac:dyDescent="0.2">
      <c r="A441" t="s">
        <v>828</v>
      </c>
      <c r="B441" t="s">
        <v>1061</v>
      </c>
      <c r="C441" t="s">
        <v>1268</v>
      </c>
      <c r="D441" t="s">
        <v>1269</v>
      </c>
      <c r="E441" s="1">
        <f>IF(COUNTIFS($A$2:A441,A441,$B$2:B441,B441)=1,1,0)</f>
        <v>1</v>
      </c>
      <c r="F441" s="1">
        <f>IF(C441="",0,IF(COUNTIFS($A$2:A441,A441,$B$2:B441,B441,$C$2:C441,C441)=1,1,0))</f>
        <v>1</v>
      </c>
    </row>
    <row r="442" spans="1:6" x14ac:dyDescent="0.2">
      <c r="A442" t="s">
        <v>832</v>
      </c>
      <c r="B442" t="s">
        <v>1061</v>
      </c>
      <c r="C442" t="s">
        <v>1249</v>
      </c>
      <c r="D442" t="s">
        <v>1278</v>
      </c>
      <c r="E442" s="1">
        <f>IF(COUNTIFS($A$2:A442,A442,$B$2:B442,B442)=1,1,0)</f>
        <v>1</v>
      </c>
      <c r="F442" s="1">
        <f>IF(C442="",0,IF(COUNTIFS($A$2:A442,A442,$B$2:B442,B442,$C$2:C442,C442)=1,1,0))</f>
        <v>1</v>
      </c>
    </row>
    <row r="443" spans="1:6" x14ac:dyDescent="0.2">
      <c r="A443" t="s">
        <v>832</v>
      </c>
      <c r="B443" t="s">
        <v>1059</v>
      </c>
      <c r="C443" t="s">
        <v>1244</v>
      </c>
      <c r="D443" t="s">
        <v>1245</v>
      </c>
      <c r="E443" s="1">
        <f>IF(COUNTIFS($A$2:A443,A443,$B$2:B443,B443)=1,1,0)</f>
        <v>1</v>
      </c>
      <c r="F443" s="1">
        <f>IF(C443="",0,IF(COUNTIFS($A$2:A443,A443,$B$2:B443,B443,$C$2:C443,C443)=1,1,0))</f>
        <v>1</v>
      </c>
    </row>
    <row r="444" spans="1:6" x14ac:dyDescent="0.2">
      <c r="A444" t="s">
        <v>832</v>
      </c>
      <c r="B444" t="s">
        <v>1063</v>
      </c>
      <c r="C444" t="s">
        <v>1259</v>
      </c>
      <c r="D444" t="s">
        <v>1274</v>
      </c>
      <c r="E444" s="1">
        <f>IF(COUNTIFS($A$2:A444,A444,$B$2:B444,B444)=1,1,0)</f>
        <v>1</v>
      </c>
      <c r="F444" s="1">
        <f>IF(C444="",0,IF(COUNTIFS($A$2:A444,A444,$B$2:B444,B444,$C$2:C444,C444)=1,1,0))</f>
        <v>1</v>
      </c>
    </row>
    <row r="445" spans="1:6" x14ac:dyDescent="0.2">
      <c r="A445" t="s">
        <v>832</v>
      </c>
      <c r="B445" t="s">
        <v>1059</v>
      </c>
      <c r="C445" t="s">
        <v>1265</v>
      </c>
      <c r="D445" t="s">
        <v>1271</v>
      </c>
      <c r="E445" s="1">
        <f>IF(COUNTIFS($A$2:A445,A445,$B$2:B445,B445)=1,1,0)</f>
        <v>0</v>
      </c>
      <c r="F445" s="1">
        <f>IF(C445="",0,IF(COUNTIFS($A$2:A445,A445,$B$2:B445,B445,$C$2:C445,C445)=1,1,0))</f>
        <v>1</v>
      </c>
    </row>
    <row r="446" spans="1:6" x14ac:dyDescent="0.2">
      <c r="A446" t="s">
        <v>1010</v>
      </c>
      <c r="B446" t="s">
        <v>1060</v>
      </c>
      <c r="E446" s="1">
        <f>IF(COUNTIFS($A$2:A446,A446,$B$2:B446,B446)=1,1,0)</f>
        <v>1</v>
      </c>
      <c r="F446" s="1">
        <f>IF(C446="",0,IF(COUNTIFS($A$2:A446,A446,$B$2:B446,B446,$C$2:C446,C446)=1,1,0))</f>
        <v>0</v>
      </c>
    </row>
    <row r="447" spans="1:6" x14ac:dyDescent="0.2">
      <c r="A447" t="s">
        <v>835</v>
      </c>
      <c r="B447" t="s">
        <v>1061</v>
      </c>
      <c r="C447" t="s">
        <v>1249</v>
      </c>
      <c r="E447" s="1">
        <f>IF(COUNTIFS($A$2:A447,A447,$B$2:B447,B447)=1,1,0)</f>
        <v>1</v>
      </c>
      <c r="F447" s="1">
        <f>IF(C447="",0,IF(COUNTIFS($A$2:A447,A447,$B$2:B447,B447,$C$2:C447,C447)=1,1,0))</f>
        <v>1</v>
      </c>
    </row>
    <row r="448" spans="1:6" x14ac:dyDescent="0.2">
      <c r="A448" t="s">
        <v>835</v>
      </c>
      <c r="B448" t="s">
        <v>1061</v>
      </c>
      <c r="C448" t="s">
        <v>1249</v>
      </c>
      <c r="D448" t="s">
        <v>1257</v>
      </c>
      <c r="E448" s="1">
        <f>IF(COUNTIFS($A$2:A448,A448,$B$2:B448,B448)=1,1,0)</f>
        <v>0</v>
      </c>
      <c r="F448" s="1">
        <f>IF(C448="",0,IF(COUNTIFS($A$2:A448,A448,$B$2:B448,B448,$C$2:C448,C448)=1,1,0))</f>
        <v>0</v>
      </c>
    </row>
    <row r="449" spans="1:6" x14ac:dyDescent="0.2">
      <c r="A449" t="s">
        <v>835</v>
      </c>
      <c r="B449" t="s">
        <v>1063</v>
      </c>
      <c r="C449" t="s">
        <v>1251</v>
      </c>
      <c r="E449" s="1">
        <f>IF(COUNTIFS($A$2:A449,A449,$B$2:B449,B449)=1,1,0)</f>
        <v>1</v>
      </c>
      <c r="F449" s="1">
        <f>IF(C449="",0,IF(COUNTIFS($A$2:A449,A449,$B$2:B449,B449,$C$2:C449,C449)=1,1,0))</f>
        <v>1</v>
      </c>
    </row>
    <row r="450" spans="1:6" x14ac:dyDescent="0.2">
      <c r="A450" t="s">
        <v>835</v>
      </c>
      <c r="B450" t="s">
        <v>1063</v>
      </c>
      <c r="C450" t="s">
        <v>1259</v>
      </c>
      <c r="E450" s="1">
        <f>IF(COUNTIFS($A$2:A450,A450,$B$2:B450,B450)=1,1,0)</f>
        <v>0</v>
      </c>
      <c r="F450" s="1">
        <f>IF(C450="",0,IF(COUNTIFS($A$2:A450,A450,$B$2:B450,B450,$C$2:C450,C450)=1,1,0))</f>
        <v>1</v>
      </c>
    </row>
    <row r="451" spans="1:6" x14ac:dyDescent="0.2">
      <c r="A451" t="s">
        <v>835</v>
      </c>
      <c r="B451" t="s">
        <v>1059</v>
      </c>
      <c r="C451" t="s">
        <v>1246</v>
      </c>
      <c r="D451" t="s">
        <v>1247</v>
      </c>
      <c r="E451" s="1">
        <f>IF(COUNTIFS($A$2:A451,A451,$B$2:B451,B451)=1,1,0)</f>
        <v>1</v>
      </c>
      <c r="F451" s="1">
        <f>IF(C451="",0,IF(COUNTIFS($A$2:A451,A451,$B$2:B451,B451,$C$2:C451,C451)=1,1,0))</f>
        <v>1</v>
      </c>
    </row>
    <row r="452" spans="1:6" x14ac:dyDescent="0.2">
      <c r="A452" t="s">
        <v>835</v>
      </c>
      <c r="B452" t="s">
        <v>1063</v>
      </c>
      <c r="C452" t="s">
        <v>1263</v>
      </c>
      <c r="D452" t="s">
        <v>1264</v>
      </c>
      <c r="E452" s="1">
        <f>IF(COUNTIFS($A$2:A452,A452,$B$2:B452,B452)=1,1,0)</f>
        <v>0</v>
      </c>
      <c r="F452" s="1">
        <f>IF(C452="",0,IF(COUNTIFS($A$2:A452,A452,$B$2:B452,B452,$C$2:C452,C452)=1,1,0))</f>
        <v>1</v>
      </c>
    </row>
    <row r="453" spans="1:6" x14ac:dyDescent="0.2">
      <c r="A453" t="s">
        <v>835</v>
      </c>
      <c r="B453" t="s">
        <v>1059</v>
      </c>
      <c r="C453" t="s">
        <v>1265</v>
      </c>
      <c r="D453" t="s">
        <v>1271</v>
      </c>
      <c r="E453" s="1">
        <f>IF(COUNTIFS($A$2:A453,A453,$B$2:B453,B453)=1,1,0)</f>
        <v>0</v>
      </c>
      <c r="F453" s="1">
        <f>IF(C453="",0,IF(COUNTIFS($A$2:A453,A453,$B$2:B453,B453,$C$2:C453,C453)=1,1,0))</f>
        <v>1</v>
      </c>
    </row>
    <row r="454" spans="1:6" x14ac:dyDescent="0.2">
      <c r="A454" t="s">
        <v>839</v>
      </c>
      <c r="B454" t="s">
        <v>1061</v>
      </c>
      <c r="C454" t="s">
        <v>1249</v>
      </c>
      <c r="D454" t="s">
        <v>1278</v>
      </c>
      <c r="E454" s="1">
        <f>IF(COUNTIFS($A$2:A454,A454,$B$2:B454,B454)=1,1,0)</f>
        <v>1</v>
      </c>
      <c r="F454" s="1">
        <f>IF(C454="",0,IF(COUNTIFS($A$2:A454,A454,$B$2:B454,B454,$C$2:C454,C454)=1,1,0))</f>
        <v>1</v>
      </c>
    </row>
    <row r="455" spans="1:6" x14ac:dyDescent="0.2">
      <c r="A455" t="s">
        <v>839</v>
      </c>
      <c r="B455" t="s">
        <v>1061</v>
      </c>
      <c r="C455" t="s">
        <v>1268</v>
      </c>
      <c r="D455" t="s">
        <v>1277</v>
      </c>
      <c r="E455" s="1">
        <f>IF(COUNTIFS($A$2:A455,A455,$B$2:B455,B455)=1,1,0)</f>
        <v>0</v>
      </c>
      <c r="F455" s="1">
        <f>IF(C455="",0,IF(COUNTIFS($A$2:A455,A455,$B$2:B455,B455,$C$2:C455,C455)=1,1,0))</f>
        <v>1</v>
      </c>
    </row>
    <row r="456" spans="1:6" x14ac:dyDescent="0.2">
      <c r="A456" t="s">
        <v>843</v>
      </c>
      <c r="B456" t="s">
        <v>1059</v>
      </c>
      <c r="C456" t="s">
        <v>1265</v>
      </c>
      <c r="D456" t="s">
        <v>1271</v>
      </c>
      <c r="E456" s="1">
        <f>IF(COUNTIFS($A$2:A456,A456,$B$2:B456,B456)=1,1,0)</f>
        <v>1</v>
      </c>
      <c r="F456" s="1">
        <f>IF(C456="",0,IF(COUNTIFS($A$2:A456,A456,$B$2:B456,B456,$C$2:C456,C456)=1,1,0))</f>
        <v>1</v>
      </c>
    </row>
    <row r="457" spans="1:6" x14ac:dyDescent="0.2">
      <c r="A457" t="s">
        <v>843</v>
      </c>
      <c r="B457" t="s">
        <v>1059</v>
      </c>
      <c r="C457" t="s">
        <v>1265</v>
      </c>
      <c r="D457" t="s">
        <v>1266</v>
      </c>
      <c r="E457" s="1">
        <f>IF(COUNTIFS($A$2:A457,A457,$B$2:B457,B457)=1,1,0)</f>
        <v>0</v>
      </c>
      <c r="F457" s="1">
        <f>IF(C457="",0,IF(COUNTIFS($A$2:A457,A457,$B$2:B457,B457,$C$2:C457,C457)=1,1,0))</f>
        <v>0</v>
      </c>
    </row>
    <row r="458" spans="1:6" x14ac:dyDescent="0.2">
      <c r="A458" t="s">
        <v>843</v>
      </c>
      <c r="B458" t="s">
        <v>1059</v>
      </c>
      <c r="C458" t="s">
        <v>1261</v>
      </c>
      <c r="D458" t="s">
        <v>1273</v>
      </c>
      <c r="E458" s="1">
        <f>IF(COUNTIFS($A$2:A458,A458,$B$2:B458,B458)=1,1,0)</f>
        <v>0</v>
      </c>
      <c r="F458" s="1">
        <f>IF(C458="",0,IF(COUNTIFS($A$2:A458,A458,$B$2:B458,B458,$C$2:C458,C458)=1,1,0))</f>
        <v>1</v>
      </c>
    </row>
    <row r="459" spans="1:6" x14ac:dyDescent="0.2">
      <c r="A459" t="s">
        <v>843</v>
      </c>
      <c r="B459" t="s">
        <v>1063</v>
      </c>
      <c r="C459" t="s">
        <v>1251</v>
      </c>
      <c r="E459" s="1">
        <f>IF(COUNTIFS($A$2:A459,A459,$B$2:B459,B459)=1,1,0)</f>
        <v>1</v>
      </c>
      <c r="F459" s="1">
        <f>IF(C459="",0,IF(COUNTIFS($A$2:A459,A459,$B$2:B459,B459,$C$2:C459,C459)=1,1,0))</f>
        <v>1</v>
      </c>
    </row>
    <row r="460" spans="1:6" x14ac:dyDescent="0.2">
      <c r="A460" t="s">
        <v>846</v>
      </c>
      <c r="B460" t="s">
        <v>1063</v>
      </c>
      <c r="C460" t="s">
        <v>1251</v>
      </c>
      <c r="D460" t="s">
        <v>1258</v>
      </c>
      <c r="E460" s="1">
        <f>IF(COUNTIFS($A$2:A460,A460,$B$2:B460,B460)=1,1,0)</f>
        <v>1</v>
      </c>
      <c r="F460" s="1">
        <f>IF(C460="",0,IF(COUNTIFS($A$2:A460,A460,$B$2:B460,B460,$C$2:C460,C460)=1,1,0))</f>
        <v>1</v>
      </c>
    </row>
    <row r="461" spans="1:6" x14ac:dyDescent="0.2">
      <c r="A461" t="s">
        <v>846</v>
      </c>
      <c r="B461" t="s">
        <v>1063</v>
      </c>
      <c r="C461" t="s">
        <v>1259</v>
      </c>
      <c r="D461" t="s">
        <v>1279</v>
      </c>
      <c r="E461" s="1">
        <f>IF(COUNTIFS($A$2:A461,A461,$B$2:B461,B461)=1,1,0)</f>
        <v>0</v>
      </c>
      <c r="F461" s="1">
        <f>IF(C461="",0,IF(COUNTIFS($A$2:A461,A461,$B$2:B461,B461,$C$2:C461,C461)=1,1,0))</f>
        <v>1</v>
      </c>
    </row>
    <row r="462" spans="1:6" x14ac:dyDescent="0.2">
      <c r="A462" t="s">
        <v>846</v>
      </c>
      <c r="B462" t="s">
        <v>1063</v>
      </c>
      <c r="C462" t="s">
        <v>1263</v>
      </c>
      <c r="D462" t="s">
        <v>1264</v>
      </c>
      <c r="E462" s="1">
        <f>IF(COUNTIFS($A$2:A462,A462,$B$2:B462,B462)=1,1,0)</f>
        <v>0</v>
      </c>
      <c r="F462" s="1">
        <f>IF(C462="",0,IF(COUNTIFS($A$2:A462,A462,$B$2:B462,B462,$C$2:C462,C462)=1,1,0))</f>
        <v>1</v>
      </c>
    </row>
    <row r="463" spans="1:6" x14ac:dyDescent="0.2">
      <c r="A463" t="s">
        <v>850</v>
      </c>
      <c r="B463" t="s">
        <v>1063</v>
      </c>
      <c r="C463" t="s">
        <v>1263</v>
      </c>
      <c r="D463" t="s">
        <v>1264</v>
      </c>
      <c r="E463" s="1">
        <f>IF(COUNTIFS($A$2:A463,A463,$B$2:B463,B463)=1,1,0)</f>
        <v>1</v>
      </c>
      <c r="F463" s="1">
        <f>IF(C463="",0,IF(COUNTIFS($A$2:A463,A463,$B$2:B463,B463,$C$2:C463,C463)=1,1,0))</f>
        <v>1</v>
      </c>
    </row>
    <row r="464" spans="1:6" x14ac:dyDescent="0.2">
      <c r="A464" t="s">
        <v>850</v>
      </c>
      <c r="B464" t="s">
        <v>1063</v>
      </c>
      <c r="C464" t="s">
        <v>1259</v>
      </c>
      <c r="D464" t="s">
        <v>1279</v>
      </c>
      <c r="E464" s="1">
        <f>IF(COUNTIFS($A$2:A464,A464,$B$2:B464,B464)=1,1,0)</f>
        <v>0</v>
      </c>
      <c r="F464" s="1">
        <f>IF(C464="",0,IF(COUNTIFS($A$2:A464,A464,$B$2:B464,B464,$C$2:C464,C464)=1,1,0))</f>
        <v>1</v>
      </c>
    </row>
    <row r="465" spans="1:6" x14ac:dyDescent="0.2">
      <c r="A465" t="s">
        <v>850</v>
      </c>
      <c r="B465" t="s">
        <v>1063</v>
      </c>
      <c r="C465" t="s">
        <v>1251</v>
      </c>
      <c r="D465" t="s">
        <v>1276</v>
      </c>
      <c r="E465" s="1">
        <f>IF(COUNTIFS($A$2:A465,A465,$B$2:B465,B465)=1,1,0)</f>
        <v>0</v>
      </c>
      <c r="F465" s="1">
        <f>IF(C465="",0,IF(COUNTIFS($A$2:A465,A465,$B$2:B465,B465,$C$2:C465,C465)=1,1,0))</f>
        <v>1</v>
      </c>
    </row>
    <row r="466" spans="1:6" x14ac:dyDescent="0.2">
      <c r="A466" t="s">
        <v>853</v>
      </c>
      <c r="B466" t="s">
        <v>1063</v>
      </c>
      <c r="C466" t="s">
        <v>1251</v>
      </c>
      <c r="D466" t="s">
        <v>1252</v>
      </c>
      <c r="E466" s="1">
        <f>IF(COUNTIFS($A$2:A466,A466,$B$2:B466,B466)=1,1,0)</f>
        <v>1</v>
      </c>
      <c r="F466" s="1">
        <f>IF(C466="",0,IF(COUNTIFS($A$2:A466,A466,$B$2:B466,B466,$C$2:C466,C466)=1,1,0))</f>
        <v>1</v>
      </c>
    </row>
    <row r="467" spans="1:6" x14ac:dyDescent="0.2">
      <c r="A467" t="s">
        <v>853</v>
      </c>
      <c r="B467" t="s">
        <v>1059</v>
      </c>
      <c r="C467" t="s">
        <v>1253</v>
      </c>
      <c r="D467" t="s">
        <v>1254</v>
      </c>
      <c r="E467" s="1">
        <f>IF(COUNTIFS($A$2:A467,A467,$B$2:B467,B467)=1,1,0)</f>
        <v>1</v>
      </c>
      <c r="F467" s="1">
        <f>IF(C467="",0,IF(COUNTIFS($A$2:A467,A467,$B$2:B467,B467,$C$2:C467,C467)=1,1,0))</f>
        <v>1</v>
      </c>
    </row>
    <row r="468" spans="1:6" x14ac:dyDescent="0.2">
      <c r="A468" t="s">
        <v>857</v>
      </c>
      <c r="B468" t="s">
        <v>1061</v>
      </c>
      <c r="C468" t="s">
        <v>1249</v>
      </c>
      <c r="D468" t="s">
        <v>1257</v>
      </c>
      <c r="E468" s="1">
        <f>IF(COUNTIFS($A$2:A468,A468,$B$2:B468,B468)=1,1,0)</f>
        <v>1</v>
      </c>
      <c r="F468" s="1">
        <f>IF(C468="",0,IF(COUNTIFS($A$2:A468,A468,$B$2:B468,B468,$C$2:C468,C468)=1,1,0))</f>
        <v>1</v>
      </c>
    </row>
    <row r="469" spans="1:6" x14ac:dyDescent="0.2">
      <c r="A469" t="s">
        <v>857</v>
      </c>
      <c r="B469" t="s">
        <v>1061</v>
      </c>
      <c r="C469" t="s">
        <v>1249</v>
      </c>
      <c r="D469" t="s">
        <v>1278</v>
      </c>
      <c r="E469" s="1">
        <f>IF(COUNTIFS($A$2:A469,A469,$B$2:B469,B469)=1,1,0)</f>
        <v>0</v>
      </c>
      <c r="F469" s="1">
        <f>IF(C469="",0,IF(COUNTIFS($A$2:A469,A469,$B$2:B469,B469,$C$2:C469,C469)=1,1,0))</f>
        <v>0</v>
      </c>
    </row>
    <row r="470" spans="1:6" x14ac:dyDescent="0.2">
      <c r="A470" t="s">
        <v>857</v>
      </c>
      <c r="B470" t="s">
        <v>1059</v>
      </c>
      <c r="C470" t="s">
        <v>1261</v>
      </c>
      <c r="D470" t="s">
        <v>1272</v>
      </c>
      <c r="E470" s="1">
        <f>IF(COUNTIFS($A$2:A470,A470,$B$2:B470,B470)=1,1,0)</f>
        <v>1</v>
      </c>
      <c r="F470" s="1">
        <f>IF(C470="",0,IF(COUNTIFS($A$2:A470,A470,$B$2:B470,B470,$C$2:C470,C470)=1,1,0))</f>
        <v>1</v>
      </c>
    </row>
    <row r="471" spans="1:6" x14ac:dyDescent="0.2">
      <c r="A471" t="s">
        <v>861</v>
      </c>
      <c r="B471" t="s">
        <v>1060</v>
      </c>
      <c r="E471" s="1">
        <f>IF(COUNTIFS($A$2:A471,A471,$B$2:B471,B471)=1,1,0)</f>
        <v>1</v>
      </c>
      <c r="F471" s="1">
        <f>IF(C471="",0,IF(COUNTIFS($A$2:A471,A471,$B$2:B471,B471,$C$2:C471,C471)=1,1,0))</f>
        <v>0</v>
      </c>
    </row>
    <row r="472" spans="1:6" x14ac:dyDescent="0.2">
      <c r="A472" t="s">
        <v>864</v>
      </c>
      <c r="B472" t="s">
        <v>1061</v>
      </c>
      <c r="C472" t="s">
        <v>1249</v>
      </c>
      <c r="E472" s="1">
        <f>IF(COUNTIFS($A$2:A472,A472,$B$2:B472,B472)=1,1,0)</f>
        <v>1</v>
      </c>
      <c r="F472" s="1">
        <f>IF(C472="",0,IF(COUNTIFS($A$2:A472,A472,$B$2:B472,B472,$C$2:C472,C472)=1,1,0))</f>
        <v>1</v>
      </c>
    </row>
    <row r="473" spans="1:6" x14ac:dyDescent="0.2">
      <c r="A473" t="s">
        <v>864</v>
      </c>
      <c r="B473" t="s">
        <v>1061</v>
      </c>
      <c r="C473" t="s">
        <v>1249</v>
      </c>
      <c r="D473" t="s">
        <v>1250</v>
      </c>
      <c r="E473" s="1">
        <f>IF(COUNTIFS($A$2:A473,A473,$B$2:B473,B473)=1,1,0)</f>
        <v>0</v>
      </c>
      <c r="F473" s="1">
        <f>IF(C473="",0,IF(COUNTIFS($A$2:A473,A473,$B$2:B473,B473,$C$2:C473,C473)=1,1,0))</f>
        <v>0</v>
      </c>
    </row>
    <row r="474" spans="1:6" x14ac:dyDescent="0.2">
      <c r="A474" t="s">
        <v>864</v>
      </c>
      <c r="B474" t="s">
        <v>1061</v>
      </c>
      <c r="C474" t="s">
        <v>1248</v>
      </c>
      <c r="E474" s="1">
        <f>IF(COUNTIFS($A$2:A474,A474,$B$2:B474,B474)=1,1,0)</f>
        <v>0</v>
      </c>
      <c r="F474" s="1">
        <f>IF(C474="",0,IF(COUNTIFS($A$2:A474,A474,$B$2:B474,B474,$C$2:C474,C474)=1,1,0))</f>
        <v>1</v>
      </c>
    </row>
    <row r="475" spans="1:6" x14ac:dyDescent="0.2">
      <c r="A475" t="s">
        <v>867</v>
      </c>
      <c r="B475" t="s">
        <v>1061</v>
      </c>
      <c r="C475" t="s">
        <v>1249</v>
      </c>
      <c r="D475" t="s">
        <v>1278</v>
      </c>
      <c r="E475" s="1">
        <f>IF(COUNTIFS($A$2:A475,A475,$B$2:B475,B475)=1,1,0)</f>
        <v>1</v>
      </c>
      <c r="F475" s="1">
        <f>IF(C475="",0,IF(COUNTIFS($A$2:A475,A475,$B$2:B475,B475,$C$2:C475,C475)=1,1,0))</f>
        <v>1</v>
      </c>
    </row>
    <row r="476" spans="1:6" x14ac:dyDescent="0.2">
      <c r="A476" t="s">
        <v>867</v>
      </c>
      <c r="B476" t="s">
        <v>1059</v>
      </c>
      <c r="C476" t="s">
        <v>1265</v>
      </c>
      <c r="D476" t="s">
        <v>1271</v>
      </c>
      <c r="E476" s="1">
        <f>IF(COUNTIFS($A$2:A476,A476,$B$2:B476,B476)=1,1,0)</f>
        <v>1</v>
      </c>
      <c r="F476" s="1">
        <f>IF(C476="",0,IF(COUNTIFS($A$2:A476,A476,$B$2:B476,B476,$C$2:C476,C476)=1,1,0))</f>
        <v>1</v>
      </c>
    </row>
    <row r="477" spans="1:6" x14ac:dyDescent="0.2">
      <c r="A477" t="s">
        <v>872</v>
      </c>
      <c r="B477" t="s">
        <v>1060</v>
      </c>
      <c r="E477" s="1">
        <f>IF(COUNTIFS($A$2:A477,A477,$B$2:B477,B477)=1,1,0)</f>
        <v>1</v>
      </c>
      <c r="F477" s="1">
        <f>IF(C477="",0,IF(COUNTIFS($A$2:A477,A477,$B$2:B477,B477,$C$2:C477,C477)=1,1,0))</f>
        <v>0</v>
      </c>
    </row>
    <row r="478" spans="1:6" x14ac:dyDescent="0.2">
      <c r="A478" t="s">
        <v>875</v>
      </c>
      <c r="B478" t="s">
        <v>1063</v>
      </c>
      <c r="C478" t="s">
        <v>1263</v>
      </c>
      <c r="D478" t="s">
        <v>1264</v>
      </c>
      <c r="E478" s="1">
        <f>IF(COUNTIFS($A$2:A478,A478,$B$2:B478,B478)=1,1,0)</f>
        <v>1</v>
      </c>
      <c r="F478" s="1">
        <f>IF(C478="",0,IF(COUNTIFS($A$2:A478,A478,$B$2:B478,B478,$C$2:C478,C478)=1,1,0))</f>
        <v>1</v>
      </c>
    </row>
    <row r="479" spans="1:6" x14ac:dyDescent="0.2">
      <c r="A479" t="s">
        <v>875</v>
      </c>
      <c r="B479" t="s">
        <v>1063</v>
      </c>
      <c r="C479" t="s">
        <v>1259</v>
      </c>
      <c r="D479" t="s">
        <v>1279</v>
      </c>
      <c r="E479" s="1">
        <f>IF(COUNTIFS($A$2:A479,A479,$B$2:B479,B479)=1,1,0)</f>
        <v>0</v>
      </c>
      <c r="F479" s="1">
        <f>IF(C479="",0,IF(COUNTIFS($A$2:A479,A479,$B$2:B479,B479,$C$2:C479,C479)=1,1,0))</f>
        <v>1</v>
      </c>
    </row>
    <row r="480" spans="1:6" x14ac:dyDescent="0.2">
      <c r="A480" t="s">
        <v>875</v>
      </c>
      <c r="B480" t="s">
        <v>1063</v>
      </c>
      <c r="C480" t="s">
        <v>1251</v>
      </c>
      <c r="D480" t="s">
        <v>1276</v>
      </c>
      <c r="E480" s="1">
        <f>IF(COUNTIFS($A$2:A480,A480,$B$2:B480,B480)=1,1,0)</f>
        <v>0</v>
      </c>
      <c r="F480" s="1">
        <f>IF(C480="",0,IF(COUNTIFS($A$2:A480,A480,$B$2:B480,B480,$C$2:C480,C480)=1,1,0))</f>
        <v>1</v>
      </c>
    </row>
    <row r="481" spans="1:6" x14ac:dyDescent="0.2">
      <c r="A481" t="s">
        <v>878</v>
      </c>
      <c r="B481" t="s">
        <v>1063</v>
      </c>
      <c r="C481" t="s">
        <v>1263</v>
      </c>
      <c r="D481" t="s">
        <v>1264</v>
      </c>
      <c r="E481" s="1">
        <f>IF(COUNTIFS($A$2:A481,A481,$B$2:B481,B481)=1,1,0)</f>
        <v>1</v>
      </c>
      <c r="F481" s="1">
        <f>IF(C481="",0,IF(COUNTIFS($A$2:A481,A481,$B$2:B481,B481,$C$2:C481,C481)=1,1,0))</f>
        <v>1</v>
      </c>
    </row>
    <row r="482" spans="1:6" x14ac:dyDescent="0.2">
      <c r="A482" t="s">
        <v>878</v>
      </c>
      <c r="B482" t="s">
        <v>1063</v>
      </c>
      <c r="C482" t="s">
        <v>1259</v>
      </c>
      <c r="D482" t="s">
        <v>1279</v>
      </c>
      <c r="E482" s="1">
        <f>IF(COUNTIFS($A$2:A482,A482,$B$2:B482,B482)=1,1,0)</f>
        <v>0</v>
      </c>
      <c r="F482" s="1">
        <f>IF(C482="",0,IF(COUNTIFS($A$2:A482,A482,$B$2:B482,B482,$C$2:C482,C482)=1,1,0))</f>
        <v>1</v>
      </c>
    </row>
    <row r="483" spans="1:6" x14ac:dyDescent="0.2">
      <c r="A483" t="s">
        <v>878</v>
      </c>
      <c r="B483" t="s">
        <v>1059</v>
      </c>
      <c r="C483" t="s">
        <v>1265</v>
      </c>
      <c r="D483" t="s">
        <v>1271</v>
      </c>
      <c r="E483" s="1">
        <f>IF(COUNTIFS($A$2:A483,A483,$B$2:B483,B483)=1,1,0)</f>
        <v>1</v>
      </c>
      <c r="F483" s="1">
        <f>IF(C483="",0,IF(COUNTIFS($A$2:A483,A483,$B$2:B483,B483,$C$2:C483,C483)=1,1,0))</f>
        <v>1</v>
      </c>
    </row>
    <row r="484" spans="1:6" x14ac:dyDescent="0.2">
      <c r="A484" t="s">
        <v>881</v>
      </c>
      <c r="B484" t="s">
        <v>1063</v>
      </c>
      <c r="C484" t="s">
        <v>1259</v>
      </c>
      <c r="D484" t="s">
        <v>1274</v>
      </c>
      <c r="E484" s="1">
        <f>IF(COUNTIFS($A$2:A484,A484,$B$2:B484,B484)=1,1,0)</f>
        <v>1</v>
      </c>
      <c r="F484" s="1">
        <f>IF(C484="",0,IF(COUNTIFS($A$2:A484,A484,$B$2:B484,B484,$C$2:C484,C484)=1,1,0))</f>
        <v>1</v>
      </c>
    </row>
    <row r="485" spans="1:6" x14ac:dyDescent="0.2">
      <c r="A485" t="s">
        <v>881</v>
      </c>
      <c r="B485" t="s">
        <v>1063</v>
      </c>
      <c r="C485" t="s">
        <v>1251</v>
      </c>
      <c r="D485" t="s">
        <v>1252</v>
      </c>
      <c r="E485" s="1">
        <f>IF(COUNTIFS($A$2:A485,A485,$B$2:B485,B485)=1,1,0)</f>
        <v>0</v>
      </c>
      <c r="F485" s="1">
        <f>IF(C485="",0,IF(COUNTIFS($A$2:A485,A485,$B$2:B485,B485,$C$2:C485,C485)=1,1,0))</f>
        <v>1</v>
      </c>
    </row>
    <row r="486" spans="1:6" x14ac:dyDescent="0.2">
      <c r="A486" t="s">
        <v>881</v>
      </c>
      <c r="B486" t="s">
        <v>1059</v>
      </c>
      <c r="C486" t="s">
        <v>1265</v>
      </c>
      <c r="D486" t="s">
        <v>1271</v>
      </c>
      <c r="E486" s="1">
        <f>IF(COUNTIFS($A$2:A486,A486,$B$2:B486,B486)=1,1,0)</f>
        <v>1</v>
      </c>
      <c r="F486" s="1">
        <f>IF(C486="",0,IF(COUNTIFS($A$2:A486,A486,$B$2:B486,B486,$C$2:C486,C486)=1,1,0))</f>
        <v>1</v>
      </c>
    </row>
    <row r="487" spans="1:6" x14ac:dyDescent="0.2">
      <c r="A487" t="s">
        <v>881</v>
      </c>
      <c r="B487" t="s">
        <v>1059</v>
      </c>
      <c r="C487" t="s">
        <v>1253</v>
      </c>
      <c r="D487" t="s">
        <v>1280</v>
      </c>
      <c r="E487" s="1">
        <f>IF(COUNTIFS($A$2:A487,A487,$B$2:B487,B487)=1,1,0)</f>
        <v>0</v>
      </c>
      <c r="F487" s="1">
        <f>IF(C487="",0,IF(COUNTIFS($A$2:A487,A487,$B$2:B487,B487,$C$2:C487,C487)=1,1,0))</f>
        <v>1</v>
      </c>
    </row>
    <row r="488" spans="1:6" x14ac:dyDescent="0.2">
      <c r="A488" t="s">
        <v>885</v>
      </c>
      <c r="B488" t="s">
        <v>1063</v>
      </c>
      <c r="C488" t="s">
        <v>1263</v>
      </c>
      <c r="D488" t="s">
        <v>1264</v>
      </c>
      <c r="E488" s="1">
        <f>IF(COUNTIFS($A$2:A488,A488,$B$2:B488,B488)=1,1,0)</f>
        <v>1</v>
      </c>
      <c r="F488" s="1">
        <f>IF(C488="",0,IF(COUNTIFS($A$2:A488,A488,$B$2:B488,B488,$C$2:C488,C488)=1,1,0))</f>
        <v>1</v>
      </c>
    </row>
    <row r="489" spans="1:6" x14ac:dyDescent="0.2">
      <c r="A489" t="s">
        <v>885</v>
      </c>
      <c r="B489" t="s">
        <v>1063</v>
      </c>
      <c r="C489" t="s">
        <v>1259</v>
      </c>
      <c r="D489" t="s">
        <v>1279</v>
      </c>
      <c r="E489" s="1">
        <f>IF(COUNTIFS($A$2:A489,A489,$B$2:B489,B489)=1,1,0)</f>
        <v>0</v>
      </c>
      <c r="F489" s="1">
        <f>IF(C489="",0,IF(COUNTIFS($A$2:A489,A489,$B$2:B489,B489,$C$2:C489,C489)=1,1,0))</f>
        <v>1</v>
      </c>
    </row>
    <row r="490" spans="1:6" x14ac:dyDescent="0.2">
      <c r="A490" t="s">
        <v>885</v>
      </c>
      <c r="B490" t="s">
        <v>1063</v>
      </c>
      <c r="C490" t="s">
        <v>1259</v>
      </c>
      <c r="D490" t="s">
        <v>1274</v>
      </c>
      <c r="E490" s="1">
        <f>IF(COUNTIFS($A$2:A490,A490,$B$2:B490,B490)=1,1,0)</f>
        <v>0</v>
      </c>
      <c r="F490" s="1">
        <f>IF(C490="",0,IF(COUNTIFS($A$2:A490,A490,$B$2:B490,B490,$C$2:C490,C490)=1,1,0))</f>
        <v>0</v>
      </c>
    </row>
    <row r="491" spans="1:6" x14ac:dyDescent="0.2">
      <c r="A491" t="s">
        <v>885</v>
      </c>
      <c r="B491" t="s">
        <v>1059</v>
      </c>
      <c r="C491" t="s">
        <v>1244</v>
      </c>
      <c r="D491" t="s">
        <v>1245</v>
      </c>
      <c r="E491" s="1">
        <f>IF(COUNTIFS($A$2:A491,A491,$B$2:B491,B491)=1,1,0)</f>
        <v>1</v>
      </c>
      <c r="F491" s="1">
        <f>IF(C491="",0,IF(COUNTIFS($A$2:A491,A491,$B$2:B491,B491,$C$2:C491,C491)=1,1,0))</f>
        <v>1</v>
      </c>
    </row>
    <row r="492" spans="1:6" x14ac:dyDescent="0.2">
      <c r="A492" t="s">
        <v>885</v>
      </c>
      <c r="B492" t="s">
        <v>1061</v>
      </c>
      <c r="C492" t="s">
        <v>1248</v>
      </c>
      <c r="E492" s="1">
        <f>IF(COUNTIFS($A$2:A492,A492,$B$2:B492,B492)=1,1,0)</f>
        <v>1</v>
      </c>
      <c r="F492" s="1">
        <f>IF(C492="",0,IF(COUNTIFS($A$2:A492,A492,$B$2:B492,B492,$C$2:C492,C492)=1,1,0))</f>
        <v>1</v>
      </c>
    </row>
    <row r="493" spans="1:6" x14ac:dyDescent="0.2">
      <c r="A493" t="s">
        <v>885</v>
      </c>
      <c r="B493" t="s">
        <v>1063</v>
      </c>
      <c r="C493" t="s">
        <v>1251</v>
      </c>
      <c r="D493" t="s">
        <v>1276</v>
      </c>
      <c r="E493" s="1">
        <f>IF(COUNTIFS($A$2:A493,A493,$B$2:B493,B493)=1,1,0)</f>
        <v>0</v>
      </c>
      <c r="F493" s="1">
        <f>IF(C493="",0,IF(COUNTIFS($A$2:A493,A493,$B$2:B493,B493,$C$2:C493,C493)=1,1,0))</f>
        <v>1</v>
      </c>
    </row>
    <row r="494" spans="1:6" x14ac:dyDescent="0.2">
      <c r="A494" t="s">
        <v>888</v>
      </c>
      <c r="B494" t="s">
        <v>1063</v>
      </c>
      <c r="C494" t="s">
        <v>1263</v>
      </c>
      <c r="D494" t="s">
        <v>1264</v>
      </c>
      <c r="E494" s="1">
        <f>IF(COUNTIFS($A$2:A494,A494,$B$2:B494,B494)=1,1,0)</f>
        <v>1</v>
      </c>
      <c r="F494" s="1">
        <f>IF(C494="",0,IF(COUNTIFS($A$2:A494,A494,$B$2:B494,B494,$C$2:C494,C494)=1,1,0))</f>
        <v>1</v>
      </c>
    </row>
    <row r="495" spans="1:6" x14ac:dyDescent="0.2">
      <c r="A495" t="s">
        <v>888</v>
      </c>
      <c r="B495" t="s">
        <v>1063</v>
      </c>
      <c r="C495" t="s">
        <v>1251</v>
      </c>
      <c r="D495" t="s">
        <v>1258</v>
      </c>
      <c r="E495" s="1">
        <f>IF(COUNTIFS($A$2:A495,A495,$B$2:B495,B495)=1,1,0)</f>
        <v>0</v>
      </c>
      <c r="F495" s="1">
        <f>IF(C495="",0,IF(COUNTIFS($A$2:A495,A495,$B$2:B495,B495,$C$2:C495,C495)=1,1,0))</f>
        <v>1</v>
      </c>
    </row>
    <row r="496" spans="1:6" x14ac:dyDescent="0.2">
      <c r="A496" t="s">
        <v>888</v>
      </c>
      <c r="B496" t="s">
        <v>1059</v>
      </c>
      <c r="C496" t="s">
        <v>1261</v>
      </c>
      <c r="D496" t="s">
        <v>1272</v>
      </c>
      <c r="E496" s="1">
        <f>IF(COUNTIFS($A$2:A496,A496,$B$2:B496,B496)=1,1,0)</f>
        <v>1</v>
      </c>
      <c r="F496" s="1">
        <f>IF(C496="",0,IF(COUNTIFS($A$2:A496,A496,$B$2:B496,B496,$C$2:C496,C496)=1,1,0))</f>
        <v>1</v>
      </c>
    </row>
    <row r="497" spans="1:6" x14ac:dyDescent="0.2">
      <c r="A497" t="s">
        <v>888</v>
      </c>
      <c r="B497" t="s">
        <v>1059</v>
      </c>
      <c r="C497" t="s">
        <v>1261</v>
      </c>
      <c r="D497" t="s">
        <v>1273</v>
      </c>
      <c r="E497" s="1">
        <f>IF(COUNTIFS($A$2:A497,A497,$B$2:B497,B497)=1,1,0)</f>
        <v>0</v>
      </c>
      <c r="F497" s="1">
        <f>IF(C497="",0,IF(COUNTIFS($A$2:A497,A497,$B$2:B497,B497,$C$2:C497,C497)=1,1,0))</f>
        <v>0</v>
      </c>
    </row>
    <row r="498" spans="1:6" x14ac:dyDescent="0.2">
      <c r="A498" t="s">
        <v>892</v>
      </c>
      <c r="B498" t="s">
        <v>1061</v>
      </c>
      <c r="C498" t="s">
        <v>1249</v>
      </c>
      <c r="D498" t="s">
        <v>1250</v>
      </c>
      <c r="E498" s="1">
        <f>IF(COUNTIFS($A$2:A498,A498,$B$2:B498,B498)=1,1,0)</f>
        <v>1</v>
      </c>
      <c r="F498" s="1">
        <f>IF(C498="",0,IF(COUNTIFS($A$2:A498,A498,$B$2:B498,B498,$C$2:C498,C498)=1,1,0))</f>
        <v>1</v>
      </c>
    </row>
    <row r="499" spans="1:6" x14ac:dyDescent="0.2">
      <c r="A499" t="s">
        <v>892</v>
      </c>
      <c r="B499" t="s">
        <v>1063</v>
      </c>
      <c r="C499" t="s">
        <v>1251</v>
      </c>
      <c r="D499" t="s">
        <v>1252</v>
      </c>
      <c r="E499" s="1">
        <f>IF(COUNTIFS($A$2:A499,A499,$B$2:B499,B499)=1,1,0)</f>
        <v>1</v>
      </c>
      <c r="F499" s="1">
        <f>IF(C499="",0,IF(COUNTIFS($A$2:A499,A499,$B$2:B499,B499,$C$2:C499,C499)=1,1,0))</f>
        <v>1</v>
      </c>
    </row>
    <row r="500" spans="1:6" x14ac:dyDescent="0.2">
      <c r="A500" t="s">
        <v>892</v>
      </c>
      <c r="B500" t="s">
        <v>1059</v>
      </c>
      <c r="C500" t="s">
        <v>1246</v>
      </c>
      <c r="D500" t="s">
        <v>1247</v>
      </c>
      <c r="E500" s="1">
        <f>IF(COUNTIFS($A$2:A500,A500,$B$2:B500,B500)=1,1,0)</f>
        <v>1</v>
      </c>
      <c r="F500" s="1">
        <f>IF(C500="",0,IF(COUNTIFS($A$2:A500,A500,$B$2:B500,B500,$C$2:C500,C500)=1,1,0))</f>
        <v>1</v>
      </c>
    </row>
    <row r="501" spans="1:6" x14ac:dyDescent="0.2">
      <c r="A501" t="s">
        <v>896</v>
      </c>
      <c r="B501" t="s">
        <v>1061</v>
      </c>
      <c r="C501" t="s">
        <v>1249</v>
      </c>
      <c r="D501" t="s">
        <v>1250</v>
      </c>
      <c r="E501" s="1">
        <f>IF(COUNTIFS($A$2:A501,A501,$B$2:B501,B501)=1,1,0)</f>
        <v>1</v>
      </c>
      <c r="F501" s="1">
        <f>IF(C501="",0,IF(COUNTIFS($A$2:A501,A501,$B$2:B501,B501,$C$2:C501,C501)=1,1,0))</f>
        <v>1</v>
      </c>
    </row>
    <row r="502" spans="1:6" x14ac:dyDescent="0.2">
      <c r="A502" t="s">
        <v>896</v>
      </c>
      <c r="B502" t="s">
        <v>1061</v>
      </c>
      <c r="C502" t="s">
        <v>1249</v>
      </c>
      <c r="E502" s="1">
        <f>IF(COUNTIFS($A$2:A502,A502,$B$2:B502,B502)=1,1,0)</f>
        <v>0</v>
      </c>
      <c r="F502" s="1">
        <f>IF(C502="",0,IF(COUNTIFS($A$2:A502,A502,$B$2:B502,B502,$C$2:C502,C502)=1,1,0))</f>
        <v>0</v>
      </c>
    </row>
    <row r="503" spans="1:6" x14ac:dyDescent="0.2">
      <c r="A503" t="s">
        <v>896</v>
      </c>
      <c r="B503" t="s">
        <v>1059</v>
      </c>
      <c r="C503" t="s">
        <v>1265</v>
      </c>
      <c r="D503" t="s">
        <v>1266</v>
      </c>
      <c r="E503" s="1">
        <f>IF(COUNTIFS($A$2:A503,A503,$B$2:B503,B503)=1,1,0)</f>
        <v>1</v>
      </c>
      <c r="F503" s="1">
        <f>IF(C503="",0,IF(COUNTIFS($A$2:A503,A503,$B$2:B503,B503,$C$2:C503,C503)=1,1,0))</f>
        <v>1</v>
      </c>
    </row>
    <row r="504" spans="1:6" x14ac:dyDescent="0.2">
      <c r="A504" t="s">
        <v>900</v>
      </c>
      <c r="B504" t="s">
        <v>1061</v>
      </c>
      <c r="C504" t="s">
        <v>1249</v>
      </c>
      <c r="D504" t="s">
        <v>1250</v>
      </c>
      <c r="E504" s="1">
        <f>IF(COUNTIFS($A$2:A504,A504,$B$2:B504,B504)=1,1,0)</f>
        <v>1</v>
      </c>
      <c r="F504" s="1">
        <f>IF(C504="",0,IF(COUNTIFS($A$2:A504,A504,$B$2:B504,B504,$C$2:C504,C504)=1,1,0))</f>
        <v>1</v>
      </c>
    </row>
    <row r="505" spans="1:6" x14ac:dyDescent="0.2">
      <c r="A505" t="s">
        <v>900</v>
      </c>
      <c r="B505" t="s">
        <v>1063</v>
      </c>
      <c r="C505" t="s">
        <v>1259</v>
      </c>
      <c r="D505" t="s">
        <v>1274</v>
      </c>
      <c r="E505" s="1">
        <f>IF(COUNTIFS($A$2:A505,A505,$B$2:B505,B505)=1,1,0)</f>
        <v>1</v>
      </c>
      <c r="F505" s="1">
        <f>IF(C505="",0,IF(COUNTIFS($A$2:A505,A505,$B$2:B505,B505,$C$2:C505,C505)=1,1,0))</f>
        <v>1</v>
      </c>
    </row>
    <row r="506" spans="1:6" x14ac:dyDescent="0.2">
      <c r="A506" t="s">
        <v>900</v>
      </c>
      <c r="B506" t="s">
        <v>1059</v>
      </c>
      <c r="C506" t="s">
        <v>1265</v>
      </c>
      <c r="D506" t="s">
        <v>1271</v>
      </c>
      <c r="E506" s="1">
        <f>IF(COUNTIFS($A$2:A506,A506,$B$2:B506,B506)=1,1,0)</f>
        <v>1</v>
      </c>
      <c r="F506" s="1">
        <f>IF(C506="",0,IF(COUNTIFS($A$2:A506,A506,$B$2:B506,B506,$C$2:C506,C506)=1,1,0))</f>
        <v>1</v>
      </c>
    </row>
    <row r="507" spans="1:6" x14ac:dyDescent="0.2">
      <c r="A507" t="s">
        <v>900</v>
      </c>
      <c r="B507" t="s">
        <v>1059</v>
      </c>
      <c r="C507" t="s">
        <v>1265</v>
      </c>
      <c r="D507" t="s">
        <v>1266</v>
      </c>
      <c r="E507" s="1">
        <f>IF(COUNTIFS($A$2:A507,A507,$B$2:B507,B507)=1,1,0)</f>
        <v>0</v>
      </c>
      <c r="F507" s="1">
        <f>IF(C507="",0,IF(COUNTIFS($A$2:A507,A507,$B$2:B507,B507,$C$2:C507,C507)=1,1,0))</f>
        <v>0</v>
      </c>
    </row>
    <row r="508" spans="1:6" x14ac:dyDescent="0.2">
      <c r="A508" t="s">
        <v>904</v>
      </c>
      <c r="B508" t="s">
        <v>1063</v>
      </c>
      <c r="C508" t="s">
        <v>1251</v>
      </c>
      <c r="D508" t="s">
        <v>1252</v>
      </c>
      <c r="E508" s="1">
        <f>IF(COUNTIFS($A$2:A508,A508,$B$2:B508,B508)=1,1,0)</f>
        <v>1</v>
      </c>
      <c r="F508" s="1">
        <f>IF(C508="",0,IF(COUNTIFS($A$2:A508,A508,$B$2:B508,B508,$C$2:C508,C508)=1,1,0))</f>
        <v>1</v>
      </c>
    </row>
    <row r="509" spans="1:6" x14ac:dyDescent="0.2">
      <c r="A509" t="s">
        <v>904</v>
      </c>
      <c r="B509" t="s">
        <v>1059</v>
      </c>
      <c r="C509" t="s">
        <v>1261</v>
      </c>
      <c r="D509" t="s">
        <v>1273</v>
      </c>
      <c r="E509" s="1">
        <f>IF(COUNTIFS($A$2:A509,A509,$B$2:B509,B509)=1,1,0)</f>
        <v>1</v>
      </c>
      <c r="F509" s="1">
        <f>IF(C509="",0,IF(COUNTIFS($A$2:A509,A509,$B$2:B509,B509,$C$2:C509,C509)=1,1,0))</f>
        <v>1</v>
      </c>
    </row>
    <row r="510" spans="1:6" x14ac:dyDescent="0.2">
      <c r="A510" t="s">
        <v>904</v>
      </c>
      <c r="B510" t="s">
        <v>1059</v>
      </c>
      <c r="C510" t="s">
        <v>1261</v>
      </c>
      <c r="D510" t="s">
        <v>1272</v>
      </c>
      <c r="E510" s="1">
        <f>IF(COUNTIFS($A$2:A510,A510,$B$2:B510,B510)=1,1,0)</f>
        <v>0</v>
      </c>
      <c r="F510" s="1">
        <f>IF(C510="",0,IF(COUNTIFS($A$2:A510,A510,$B$2:B510,B510,$C$2:C510,C510)=1,1,0))</f>
        <v>0</v>
      </c>
    </row>
    <row r="511" spans="1:6" x14ac:dyDescent="0.2">
      <c r="A511" t="s">
        <v>908</v>
      </c>
      <c r="B511" t="s">
        <v>1061</v>
      </c>
      <c r="C511" t="s">
        <v>1249</v>
      </c>
      <c r="E511" s="1">
        <f>IF(COUNTIFS($A$2:A511,A511,$B$2:B511,B511)=1,1,0)</f>
        <v>1</v>
      </c>
      <c r="F511" s="1">
        <f>IF(C511="",0,IF(COUNTIFS($A$2:A511,A511,$B$2:B511,B511,$C$2:C511,C511)=1,1,0))</f>
        <v>1</v>
      </c>
    </row>
    <row r="512" spans="1:6" x14ac:dyDescent="0.2">
      <c r="A512" t="s">
        <v>908</v>
      </c>
      <c r="B512" t="s">
        <v>1059</v>
      </c>
      <c r="C512" t="s">
        <v>1253</v>
      </c>
      <c r="D512" t="s">
        <v>1254</v>
      </c>
      <c r="E512" s="1">
        <f>IF(COUNTIFS($A$2:A512,A512,$B$2:B512,B512)=1,1,0)</f>
        <v>1</v>
      </c>
      <c r="F512" s="1">
        <f>IF(C512="",0,IF(COUNTIFS($A$2:A512,A512,$B$2:B512,B512,$C$2:C512,C512)=1,1,0))</f>
        <v>1</v>
      </c>
    </row>
    <row r="513" spans="1:6" x14ac:dyDescent="0.2">
      <c r="A513" t="s">
        <v>912</v>
      </c>
      <c r="B513" t="s">
        <v>1061</v>
      </c>
      <c r="C513" t="s">
        <v>1249</v>
      </c>
      <c r="E513" s="1">
        <f>IF(COUNTIFS($A$2:A513,A513,$B$2:B513,B513)=1,1,0)</f>
        <v>1</v>
      </c>
      <c r="F513" s="1">
        <f>IF(C513="",0,IF(COUNTIFS($A$2:A513,A513,$B$2:B513,B513,$C$2:C513,C513)=1,1,0))</f>
        <v>1</v>
      </c>
    </row>
    <row r="514" spans="1:6" x14ac:dyDescent="0.2">
      <c r="A514" t="s">
        <v>916</v>
      </c>
      <c r="B514" t="s">
        <v>1061</v>
      </c>
      <c r="C514" t="s">
        <v>1249</v>
      </c>
      <c r="D514" t="s">
        <v>1250</v>
      </c>
      <c r="E514" s="1">
        <f>IF(COUNTIFS($A$2:A514,A514,$B$2:B514,B514)=1,1,0)</f>
        <v>1</v>
      </c>
      <c r="F514" s="1">
        <f>IF(C514="",0,IF(COUNTIFS($A$2:A514,A514,$B$2:B514,B514,$C$2:C514,C514)=1,1,0))</f>
        <v>1</v>
      </c>
    </row>
    <row r="515" spans="1:6" x14ac:dyDescent="0.2">
      <c r="A515" t="s">
        <v>916</v>
      </c>
      <c r="B515" t="s">
        <v>1061</v>
      </c>
      <c r="C515" t="s">
        <v>1249</v>
      </c>
      <c r="D515" t="s">
        <v>1257</v>
      </c>
      <c r="E515" s="1">
        <f>IF(COUNTIFS($A$2:A515,A515,$B$2:B515,B515)=1,1,0)</f>
        <v>0</v>
      </c>
      <c r="F515" s="1">
        <f>IF(C515="",0,IF(COUNTIFS($A$2:A515,A515,$B$2:B515,B515,$C$2:C515,C515)=1,1,0))</f>
        <v>0</v>
      </c>
    </row>
    <row r="516" spans="1:6" x14ac:dyDescent="0.2">
      <c r="A516" t="s">
        <v>916</v>
      </c>
      <c r="B516" t="s">
        <v>1063</v>
      </c>
      <c r="C516" t="s">
        <v>1259</v>
      </c>
      <c r="E516" s="1">
        <f>IF(COUNTIFS($A$2:A516,A516,$B$2:B516,B516)=1,1,0)</f>
        <v>1</v>
      </c>
      <c r="F516" s="1">
        <f>IF(C516="",0,IF(COUNTIFS($A$2:A516,A516,$B$2:B516,B516,$C$2:C516,C516)=1,1,0))</f>
        <v>1</v>
      </c>
    </row>
    <row r="517" spans="1:6" x14ac:dyDescent="0.2">
      <c r="A517" t="s">
        <v>920</v>
      </c>
      <c r="B517" t="s">
        <v>1060</v>
      </c>
      <c r="E517" s="1">
        <f>IF(COUNTIFS($A$2:A517,A517,$B$2:B517,B517)=1,1,0)</f>
        <v>1</v>
      </c>
      <c r="F517" s="1">
        <f>IF(C517="",0,IF(COUNTIFS($A$2:A517,A517,$B$2:B517,B517,$C$2:C517,C517)=1,1,0))</f>
        <v>0</v>
      </c>
    </row>
    <row r="518" spans="1:6" x14ac:dyDescent="0.2">
      <c r="A518" t="s">
        <v>924</v>
      </c>
      <c r="B518" t="s">
        <v>1059</v>
      </c>
      <c r="C518" t="s">
        <v>1255</v>
      </c>
      <c r="D518" t="s">
        <v>1270</v>
      </c>
      <c r="E518" s="1">
        <f>IF(COUNTIFS($A$2:A518,A518,$B$2:B518,B518)=1,1,0)</f>
        <v>1</v>
      </c>
      <c r="F518" s="1">
        <f>IF(C518="",0,IF(COUNTIFS($A$2:A518,A518,$B$2:B518,B518,$C$2:C518,C518)=1,1,0))</f>
        <v>1</v>
      </c>
    </row>
    <row r="519" spans="1:6" x14ac:dyDescent="0.2">
      <c r="A519" t="s">
        <v>928</v>
      </c>
      <c r="B519" t="s">
        <v>1063</v>
      </c>
      <c r="C519" t="s">
        <v>1259</v>
      </c>
      <c r="E519" s="1">
        <f>IF(COUNTIFS($A$2:A519,A519,$B$2:B519,B519)=1,1,0)</f>
        <v>1</v>
      </c>
      <c r="F519" s="1">
        <f>IF(C519="",0,IF(COUNTIFS($A$2:A519,A519,$B$2:B519,B519,$C$2:C519,C519)=1,1,0))</f>
        <v>1</v>
      </c>
    </row>
    <row r="520" spans="1:6" x14ac:dyDescent="0.2">
      <c r="A520" t="s">
        <v>928</v>
      </c>
      <c r="B520" t="s">
        <v>1059</v>
      </c>
      <c r="C520" t="s">
        <v>1253</v>
      </c>
      <c r="D520" t="s">
        <v>1254</v>
      </c>
      <c r="E520" s="1">
        <f>IF(COUNTIFS($A$2:A520,A520,$B$2:B520,B520)=1,1,0)</f>
        <v>1</v>
      </c>
      <c r="F520" s="1">
        <f>IF(C520="",0,IF(COUNTIFS($A$2:A520,A520,$B$2:B520,B520,$C$2:C520,C520)=1,1,0))</f>
        <v>1</v>
      </c>
    </row>
    <row r="521" spans="1:6" x14ac:dyDescent="0.2">
      <c r="A521" t="s">
        <v>934</v>
      </c>
      <c r="B521" t="s">
        <v>1059</v>
      </c>
      <c r="C521" t="s">
        <v>1246</v>
      </c>
      <c r="D521" t="s">
        <v>1247</v>
      </c>
      <c r="E521" s="1">
        <f>IF(COUNTIFS($A$2:A521,A521,$B$2:B521,B521)=1,1,0)</f>
        <v>1</v>
      </c>
      <c r="F521" s="1">
        <f>IF(C521="",0,IF(COUNTIFS($A$2:A521,A521,$B$2:B521,B521,$C$2:C521,C521)=1,1,0))</f>
        <v>1</v>
      </c>
    </row>
    <row r="522" spans="1:6" x14ac:dyDescent="0.2">
      <c r="A522" t="s">
        <v>934</v>
      </c>
      <c r="B522" t="s">
        <v>1059</v>
      </c>
      <c r="C522" t="s">
        <v>1244</v>
      </c>
      <c r="D522" t="s">
        <v>1245</v>
      </c>
      <c r="E522" s="1">
        <f>IF(COUNTIFS($A$2:A522,A522,$B$2:B522,B522)=1,1,0)</f>
        <v>0</v>
      </c>
      <c r="F522" s="1">
        <f>IF(C522="",0,IF(COUNTIFS($A$2:A522,A522,$B$2:B522,B522,$C$2:C522,C522)=1,1,0))</f>
        <v>1</v>
      </c>
    </row>
    <row r="523" spans="1:6" x14ac:dyDescent="0.2">
      <c r="A523" t="s">
        <v>934</v>
      </c>
      <c r="B523" t="s">
        <v>1060</v>
      </c>
      <c r="E523" s="1">
        <f>IF(COUNTIFS($A$2:A523,A523,$B$2:B523,B523)=1,1,0)</f>
        <v>1</v>
      </c>
      <c r="F523" s="1">
        <f>IF(C523="",0,IF(COUNTIFS($A$2:A523,A523,$B$2:B523,B523,$C$2:C523,C523)=1,1,0))</f>
        <v>0</v>
      </c>
    </row>
    <row r="524" spans="1:6" x14ac:dyDescent="0.2">
      <c r="A524" t="s">
        <v>937</v>
      </c>
      <c r="B524" t="s">
        <v>1061</v>
      </c>
      <c r="C524" t="s">
        <v>1249</v>
      </c>
      <c r="E524" s="1">
        <f>IF(COUNTIFS($A$2:A524,A524,$B$2:B524,B524)=1,1,0)</f>
        <v>1</v>
      </c>
      <c r="F524" s="1">
        <f>IF(C524="",0,IF(COUNTIFS($A$2:A524,A524,$B$2:B524,B524,$C$2:C524,C524)=1,1,0))</f>
        <v>1</v>
      </c>
    </row>
    <row r="525" spans="1:6" x14ac:dyDescent="0.2">
      <c r="A525" t="s">
        <v>937</v>
      </c>
      <c r="B525" t="s">
        <v>1061</v>
      </c>
      <c r="C525" t="s">
        <v>1249</v>
      </c>
      <c r="D525" t="s">
        <v>1257</v>
      </c>
      <c r="E525" s="1">
        <f>IF(COUNTIFS($A$2:A525,A525,$B$2:B525,B525)=1,1,0)</f>
        <v>0</v>
      </c>
      <c r="F525" s="1">
        <f>IF(C525="",0,IF(COUNTIFS($A$2:A525,A525,$B$2:B525,B525,$C$2:C525,C525)=1,1,0))</f>
        <v>0</v>
      </c>
    </row>
    <row r="526" spans="1:6" x14ac:dyDescent="0.2">
      <c r="A526" t="s">
        <v>937</v>
      </c>
      <c r="B526" t="s">
        <v>1061</v>
      </c>
      <c r="C526" t="s">
        <v>1249</v>
      </c>
      <c r="D526" t="s">
        <v>1250</v>
      </c>
      <c r="E526" s="1">
        <f>IF(COUNTIFS($A$2:A526,A526,$B$2:B526,B526)=1,1,0)</f>
        <v>0</v>
      </c>
      <c r="F526" s="1">
        <f>IF(C526="",0,IF(COUNTIFS($A$2:A526,A526,$B$2:B526,B526,$C$2:C526,C526)=1,1,0))</f>
        <v>0</v>
      </c>
    </row>
    <row r="527" spans="1:6" x14ac:dyDescent="0.2">
      <c r="A527" t="s">
        <v>937</v>
      </c>
      <c r="B527" t="s">
        <v>1063</v>
      </c>
      <c r="C527" t="s">
        <v>1251</v>
      </c>
      <c r="D527" t="s">
        <v>1252</v>
      </c>
      <c r="E527" s="1">
        <f>IF(COUNTIFS($A$2:A527,A527,$B$2:B527,B527)=1,1,0)</f>
        <v>1</v>
      </c>
      <c r="F527" s="1">
        <f>IF(C527="",0,IF(COUNTIFS($A$2:A527,A527,$B$2:B527,B527,$C$2:C527,C527)=1,1,0))</f>
        <v>1</v>
      </c>
    </row>
    <row r="528" spans="1:6" x14ac:dyDescent="0.2">
      <c r="A528" t="s">
        <v>941</v>
      </c>
      <c r="B528" t="s">
        <v>1061</v>
      </c>
      <c r="C528" t="s">
        <v>1268</v>
      </c>
      <c r="D528" t="s">
        <v>1269</v>
      </c>
      <c r="E528" s="1">
        <f>IF(COUNTIFS($A$2:A528,A528,$B$2:B528,B528)=1,1,0)</f>
        <v>1</v>
      </c>
      <c r="F528" s="1">
        <f>IF(C528="",0,IF(COUNTIFS($A$2:A528,A528,$B$2:B528,B528,$C$2:C528,C528)=1,1,0))</f>
        <v>1</v>
      </c>
    </row>
    <row r="529" spans="1:6" x14ac:dyDescent="0.2">
      <c r="A529" t="s">
        <v>941</v>
      </c>
      <c r="B529" t="s">
        <v>1061</v>
      </c>
      <c r="C529" t="s">
        <v>1249</v>
      </c>
      <c r="E529" s="1">
        <f>IF(COUNTIFS($A$2:A529,A529,$B$2:B529,B529)=1,1,0)</f>
        <v>0</v>
      </c>
      <c r="F529" s="1">
        <f>IF(C529="",0,IF(COUNTIFS($A$2:A529,A529,$B$2:B529,B529,$C$2:C529,C529)=1,1,0))</f>
        <v>1</v>
      </c>
    </row>
    <row r="530" spans="1:6" x14ac:dyDescent="0.2">
      <c r="A530" t="s">
        <v>941</v>
      </c>
      <c r="B530" t="s">
        <v>1063</v>
      </c>
      <c r="C530" t="s">
        <v>1251</v>
      </c>
      <c r="D530" t="s">
        <v>1258</v>
      </c>
      <c r="E530" s="1">
        <f>IF(COUNTIFS($A$2:A530,A530,$B$2:B530,B530)=1,1,0)</f>
        <v>1</v>
      </c>
      <c r="F530" s="1">
        <f>IF(C530="",0,IF(COUNTIFS($A$2:A530,A530,$B$2:B530,B530,$C$2:C530,C530)=1,1,0))</f>
        <v>1</v>
      </c>
    </row>
    <row r="531" spans="1:6" x14ac:dyDescent="0.2">
      <c r="A531" t="s">
        <v>941</v>
      </c>
      <c r="B531" t="s">
        <v>1059</v>
      </c>
      <c r="C531" t="s">
        <v>1246</v>
      </c>
      <c r="D531" t="s">
        <v>1247</v>
      </c>
      <c r="E531" s="1">
        <f>IF(COUNTIFS($A$2:A531,A531,$B$2:B531,B531)=1,1,0)</f>
        <v>1</v>
      </c>
      <c r="F531" s="1">
        <f>IF(C531="",0,IF(COUNTIFS($A$2:A531,A531,$B$2:B531,B531,$C$2:C531,C531)=1,1,0))</f>
        <v>1</v>
      </c>
    </row>
    <row r="532" spans="1:6" x14ac:dyDescent="0.2">
      <c r="A532" t="s">
        <v>944</v>
      </c>
      <c r="B532" t="s">
        <v>1059</v>
      </c>
      <c r="C532" t="s">
        <v>1255</v>
      </c>
      <c r="D532" t="s">
        <v>1270</v>
      </c>
      <c r="E532" s="1">
        <f>IF(COUNTIFS($A$2:A532,A532,$B$2:B532,B532)=1,1,0)</f>
        <v>1</v>
      </c>
      <c r="F532" s="1">
        <f>IF(C532="",0,IF(COUNTIFS($A$2:A532,A532,$B$2:B532,B532,$C$2:C532,C532)=1,1,0))</f>
        <v>1</v>
      </c>
    </row>
    <row r="533" spans="1:6" x14ac:dyDescent="0.2">
      <c r="A533" t="s">
        <v>944</v>
      </c>
      <c r="B533" t="s">
        <v>1063</v>
      </c>
      <c r="C533" t="s">
        <v>1263</v>
      </c>
      <c r="D533" t="s">
        <v>1264</v>
      </c>
      <c r="E533" s="1">
        <f>IF(COUNTIFS($A$2:A533,A533,$B$2:B533,B533)=1,1,0)</f>
        <v>1</v>
      </c>
      <c r="F533" s="1">
        <f>IF(C533="",0,IF(COUNTIFS($A$2:A533,A533,$B$2:B533,B533,$C$2:C533,C533)=1,1,0))</f>
        <v>1</v>
      </c>
    </row>
    <row r="534" spans="1:6" x14ac:dyDescent="0.2">
      <c r="A534" t="s">
        <v>948</v>
      </c>
      <c r="B534" t="s">
        <v>1063</v>
      </c>
      <c r="C534" t="s">
        <v>1263</v>
      </c>
      <c r="D534" t="s">
        <v>1264</v>
      </c>
      <c r="E534" s="1">
        <f>IF(COUNTIFS($A$2:A534,A534,$B$2:B534,B534)=1,1,0)</f>
        <v>1</v>
      </c>
      <c r="F534" s="1">
        <f>IF(C534="",0,IF(COUNTIFS($A$2:A534,A534,$B$2:B534,B534,$C$2:C534,C534)=1,1,0))</f>
        <v>1</v>
      </c>
    </row>
    <row r="535" spans="1:6" x14ac:dyDescent="0.2">
      <c r="A535" t="s">
        <v>948</v>
      </c>
      <c r="B535" t="s">
        <v>1063</v>
      </c>
      <c r="C535" t="s">
        <v>1259</v>
      </c>
      <c r="D535" t="s">
        <v>1274</v>
      </c>
      <c r="E535" s="1">
        <f>IF(COUNTIFS($A$2:A535,A535,$B$2:B535,B535)=1,1,0)</f>
        <v>0</v>
      </c>
      <c r="F535" s="1">
        <f>IF(C535="",0,IF(COUNTIFS($A$2:A535,A535,$B$2:B535,B535,$C$2:C535,C535)=1,1,0))</f>
        <v>1</v>
      </c>
    </row>
    <row r="536" spans="1:6" x14ac:dyDescent="0.2">
      <c r="A536" t="s">
        <v>948</v>
      </c>
      <c r="B536" t="s">
        <v>1063</v>
      </c>
      <c r="C536" t="s">
        <v>1251</v>
      </c>
      <c r="D536" t="s">
        <v>1276</v>
      </c>
      <c r="E536" s="1">
        <f>IF(COUNTIFS($A$2:A536,A536,$B$2:B536,B536)=1,1,0)</f>
        <v>0</v>
      </c>
      <c r="F536" s="1">
        <f>IF(C536="",0,IF(COUNTIFS($A$2:A536,A536,$B$2:B536,B536,$C$2:C536,C536)=1,1,0))</f>
        <v>1</v>
      </c>
    </row>
    <row r="537" spans="1:6" x14ac:dyDescent="0.2">
      <c r="A537" t="s">
        <v>952</v>
      </c>
      <c r="B537" t="s">
        <v>1061</v>
      </c>
      <c r="C537" t="s">
        <v>1249</v>
      </c>
      <c r="E537" s="1">
        <f>IF(COUNTIFS($A$2:A537,A537,$B$2:B537,B537)=1,1,0)</f>
        <v>1</v>
      </c>
      <c r="F537" s="1">
        <f>IF(C537="",0,IF(COUNTIFS($A$2:A537,A537,$B$2:B537,B537,$C$2:C537,C537)=1,1,0))</f>
        <v>1</v>
      </c>
    </row>
    <row r="538" spans="1:6" x14ac:dyDescent="0.2">
      <c r="A538" t="s">
        <v>952</v>
      </c>
      <c r="B538" t="s">
        <v>1063</v>
      </c>
      <c r="C538" t="s">
        <v>1251</v>
      </c>
      <c r="D538" t="s">
        <v>1252</v>
      </c>
      <c r="E538" s="1">
        <f>IF(COUNTIFS($A$2:A538,A538,$B$2:B538,B538)=1,1,0)</f>
        <v>1</v>
      </c>
      <c r="F538" s="1">
        <f>IF(C538="",0,IF(COUNTIFS($A$2:A538,A538,$B$2:B538,B538,$C$2:C538,C538)=1,1,0))</f>
        <v>1</v>
      </c>
    </row>
    <row r="539" spans="1:6" x14ac:dyDescent="0.2">
      <c r="A539" t="s">
        <v>956</v>
      </c>
      <c r="B539" t="s">
        <v>1061</v>
      </c>
      <c r="C539" t="s">
        <v>1249</v>
      </c>
      <c r="D539" t="s">
        <v>1257</v>
      </c>
      <c r="E539" s="1">
        <f>IF(COUNTIFS($A$2:A539,A539,$B$2:B539,B539)=1,1,0)</f>
        <v>1</v>
      </c>
      <c r="F539" s="1">
        <f>IF(C539="",0,IF(COUNTIFS($A$2:A539,A539,$B$2:B539,B539,$C$2:C539,C539)=1,1,0))</f>
        <v>1</v>
      </c>
    </row>
    <row r="540" spans="1:6" x14ac:dyDescent="0.2">
      <c r="A540" t="s">
        <v>956</v>
      </c>
      <c r="B540" t="s">
        <v>1061</v>
      </c>
      <c r="C540" t="s">
        <v>1249</v>
      </c>
      <c r="E540" s="1">
        <f>IF(COUNTIFS($A$2:A540,A540,$B$2:B540,B540)=1,1,0)</f>
        <v>0</v>
      </c>
      <c r="F540" s="1">
        <f>IF(C540="",0,IF(COUNTIFS($A$2:A540,A540,$B$2:B540,B540,$C$2:C540,C540)=1,1,0))</f>
        <v>0</v>
      </c>
    </row>
    <row r="541" spans="1:6" x14ac:dyDescent="0.2">
      <c r="A541" t="s">
        <v>960</v>
      </c>
      <c r="B541" t="s">
        <v>1061</v>
      </c>
      <c r="C541" t="s">
        <v>1249</v>
      </c>
      <c r="D541" t="s">
        <v>1278</v>
      </c>
      <c r="E541" s="1">
        <f>IF(COUNTIFS($A$2:A541,A541,$B$2:B541,B541)=1,1,0)</f>
        <v>1</v>
      </c>
      <c r="F541" s="1">
        <f>IF(C541="",0,IF(COUNTIFS($A$2:A541,A541,$B$2:B541,B541,$C$2:C541,C541)=1,1,0))</f>
        <v>1</v>
      </c>
    </row>
    <row r="542" spans="1:6" x14ac:dyDescent="0.2">
      <c r="A542" t="s">
        <v>960</v>
      </c>
      <c r="B542" t="s">
        <v>1059</v>
      </c>
      <c r="C542" t="s">
        <v>1244</v>
      </c>
      <c r="D542" t="s">
        <v>1245</v>
      </c>
      <c r="E542" s="1">
        <f>IF(COUNTIFS($A$2:A542,A542,$B$2:B542,B542)=1,1,0)</f>
        <v>1</v>
      </c>
      <c r="F542" s="1">
        <f>IF(C542="",0,IF(COUNTIFS($A$2:A542,A542,$B$2:B542,B542,$C$2:C542,C542)=1,1,0))</f>
        <v>1</v>
      </c>
    </row>
    <row r="543" spans="1:6" x14ac:dyDescent="0.2">
      <c r="A543" t="s">
        <v>960</v>
      </c>
      <c r="B543" t="s">
        <v>1059</v>
      </c>
      <c r="C543" t="s">
        <v>1246</v>
      </c>
      <c r="D543" t="s">
        <v>1247</v>
      </c>
      <c r="E543" s="1">
        <f>IF(COUNTIFS($A$2:A543,A543,$B$2:B543,B543)=1,1,0)</f>
        <v>0</v>
      </c>
      <c r="F543" s="1">
        <f>IF(C543="",0,IF(COUNTIFS($A$2:A543,A543,$B$2:B543,B543,$C$2:C543,C543)=1,1,0))</f>
        <v>1</v>
      </c>
    </row>
    <row r="544" spans="1:6" x14ac:dyDescent="0.2">
      <c r="A544" t="s">
        <v>960</v>
      </c>
      <c r="B544" t="s">
        <v>1063</v>
      </c>
      <c r="C544" t="s">
        <v>1263</v>
      </c>
      <c r="D544" t="s">
        <v>1264</v>
      </c>
      <c r="E544" s="1">
        <f>IF(COUNTIFS($A$2:A544,A544,$B$2:B544,B544)=1,1,0)</f>
        <v>1</v>
      </c>
      <c r="F544" s="1">
        <f>IF(C544="",0,IF(COUNTIFS($A$2:A544,A544,$B$2:B544,B544,$C$2:C544,C544)=1,1,0))</f>
        <v>1</v>
      </c>
    </row>
    <row r="545" spans="1:6" x14ac:dyDescent="0.2">
      <c r="A545" t="s">
        <v>960</v>
      </c>
      <c r="B545" t="s">
        <v>1063</v>
      </c>
      <c r="C545" t="s">
        <v>1251</v>
      </c>
      <c r="D545" t="s">
        <v>1252</v>
      </c>
      <c r="E545" s="1">
        <f>IF(COUNTIFS($A$2:A545,A545,$B$2:B545,B545)=1,1,0)</f>
        <v>0</v>
      </c>
      <c r="F545" s="1">
        <f>IF(C545="",0,IF(COUNTIFS($A$2:A545,A545,$B$2:B545,B545,$C$2:C545,C545)=1,1,0))</f>
        <v>1</v>
      </c>
    </row>
    <row r="546" spans="1:6" x14ac:dyDescent="0.2">
      <c r="A546" t="s">
        <v>960</v>
      </c>
      <c r="B546" t="s">
        <v>1063</v>
      </c>
      <c r="C546" t="s">
        <v>1251</v>
      </c>
      <c r="D546" t="s">
        <v>1258</v>
      </c>
      <c r="E546" s="1">
        <f>IF(COUNTIFS($A$2:A546,A546,$B$2:B546,B546)=1,1,0)</f>
        <v>0</v>
      </c>
      <c r="F546" s="1">
        <f>IF(C546="",0,IF(COUNTIFS($A$2:A546,A546,$B$2:B546,B546,$C$2:C546,C546)=1,1,0))</f>
        <v>0</v>
      </c>
    </row>
    <row r="547" spans="1:6" x14ac:dyDescent="0.2">
      <c r="A547" t="s">
        <v>964</v>
      </c>
      <c r="B547" t="s">
        <v>1061</v>
      </c>
      <c r="C547" t="s">
        <v>1249</v>
      </c>
      <c r="D547" t="s">
        <v>1250</v>
      </c>
      <c r="E547" s="1">
        <f>IF(COUNTIFS($A$2:A547,A547,$B$2:B547,B547)=1,1,0)</f>
        <v>1</v>
      </c>
      <c r="F547" s="1">
        <f>IF(C547="",0,IF(COUNTIFS($A$2:A547,A547,$B$2:B547,B547,$C$2:C547,C547)=1,1,0))</f>
        <v>1</v>
      </c>
    </row>
    <row r="548" spans="1:6" x14ac:dyDescent="0.2">
      <c r="A548" t="s">
        <v>964</v>
      </c>
      <c r="B548" t="s">
        <v>1063</v>
      </c>
      <c r="C548" t="s">
        <v>1251</v>
      </c>
      <c r="D548" t="s">
        <v>1252</v>
      </c>
      <c r="E548" s="1">
        <f>IF(COUNTIFS($A$2:A548,A548,$B$2:B548,B548)=1,1,0)</f>
        <v>1</v>
      </c>
      <c r="F548" s="1">
        <f>IF(C548="",0,IF(COUNTIFS($A$2:A548,A548,$B$2:B548,B548,$C$2:C548,C548)=1,1,0))</f>
        <v>1</v>
      </c>
    </row>
    <row r="549" spans="1:6" x14ac:dyDescent="0.2">
      <c r="A549" t="s">
        <v>964</v>
      </c>
      <c r="B549" t="s">
        <v>1063</v>
      </c>
      <c r="C549" t="s">
        <v>1259</v>
      </c>
      <c r="E549" s="1">
        <f>IF(COUNTIFS($A$2:A549,A549,$B$2:B549,B549)=1,1,0)</f>
        <v>0</v>
      </c>
      <c r="F549" s="1">
        <f>IF(C549="",0,IF(COUNTIFS($A$2:A549,A549,$B$2:B549,B549,$C$2:C549,C549)=1,1,0))</f>
        <v>1</v>
      </c>
    </row>
    <row r="550" spans="1:6" x14ac:dyDescent="0.2">
      <c r="A550" t="s">
        <v>968</v>
      </c>
      <c r="B550" t="s">
        <v>1059</v>
      </c>
      <c r="C550" t="s">
        <v>1261</v>
      </c>
      <c r="D550" t="s">
        <v>1262</v>
      </c>
      <c r="E550" s="1">
        <f>IF(COUNTIFS($A$2:A550,A550,$B$2:B550,B550)=1,1,0)</f>
        <v>1</v>
      </c>
      <c r="F550" s="1">
        <f>IF(C550="",0,IF(COUNTIFS($A$2:A550,A550,$B$2:B550,B550,$C$2:C550,C550)=1,1,0))</f>
        <v>1</v>
      </c>
    </row>
    <row r="551" spans="1:6" x14ac:dyDescent="0.2">
      <c r="A551" t="s">
        <v>968</v>
      </c>
      <c r="B551" t="s">
        <v>1059</v>
      </c>
      <c r="C551" t="s">
        <v>1265</v>
      </c>
      <c r="D551" t="s">
        <v>1271</v>
      </c>
      <c r="E551" s="1">
        <f>IF(COUNTIFS($A$2:A551,A551,$B$2:B551,B551)=1,1,0)</f>
        <v>0</v>
      </c>
      <c r="F551" s="1">
        <f>IF(C551="",0,IF(COUNTIFS($A$2:A551,A551,$B$2:B551,B551,$C$2:C551,C551)=1,1,0))</f>
        <v>1</v>
      </c>
    </row>
    <row r="552" spans="1:6" x14ac:dyDescent="0.2">
      <c r="A552" t="s">
        <v>968</v>
      </c>
      <c r="B552" t="s">
        <v>1063</v>
      </c>
      <c r="C552" t="s">
        <v>1251</v>
      </c>
      <c r="D552" t="s">
        <v>1276</v>
      </c>
      <c r="E552" s="1">
        <f>IF(COUNTIFS($A$2:A552,A552,$B$2:B552,B552)=1,1,0)</f>
        <v>1</v>
      </c>
      <c r="F552" s="1">
        <f>IF(C552="",0,IF(COUNTIFS($A$2:A552,A552,$B$2:B552,B552,$C$2:C552,C552)=1,1,0))</f>
        <v>1</v>
      </c>
    </row>
    <row r="553" spans="1:6" x14ac:dyDescent="0.2">
      <c r="A553" t="s">
        <v>968</v>
      </c>
      <c r="B553" t="s">
        <v>1059</v>
      </c>
      <c r="C553" t="s">
        <v>1246</v>
      </c>
      <c r="D553" t="s">
        <v>1247</v>
      </c>
      <c r="E553" s="1">
        <f>IF(COUNTIFS($A$2:A553,A553,$B$2:B553,B553)=1,1,0)</f>
        <v>0</v>
      </c>
      <c r="F553" s="1">
        <f>IF(C553="",0,IF(COUNTIFS($A$2:A553,A553,$B$2:B553,B553,$C$2:C553,C553)=1,1,0))</f>
        <v>1</v>
      </c>
    </row>
    <row r="554" spans="1:6" x14ac:dyDescent="0.2">
      <c r="A554" t="s">
        <v>972</v>
      </c>
      <c r="B554" t="s">
        <v>1063</v>
      </c>
      <c r="C554" t="s">
        <v>1251</v>
      </c>
      <c r="D554" t="s">
        <v>1252</v>
      </c>
      <c r="E554" s="1">
        <f>IF(COUNTIFS($A$2:A554,A554,$B$2:B554,B554)=1,1,0)</f>
        <v>1</v>
      </c>
      <c r="F554" s="1">
        <f>IF(C554="",0,IF(COUNTIFS($A$2:A554,A554,$B$2:B554,B554,$C$2:C554,C554)=1,1,0))</f>
        <v>1</v>
      </c>
    </row>
    <row r="555" spans="1:6" x14ac:dyDescent="0.2">
      <c r="A555" t="s">
        <v>976</v>
      </c>
      <c r="B555" t="s">
        <v>1061</v>
      </c>
      <c r="C555" t="s">
        <v>1249</v>
      </c>
      <c r="D555" t="s">
        <v>1250</v>
      </c>
      <c r="E555" s="1">
        <f>IF(COUNTIFS($A$2:A555,A555,$B$2:B555,B555)=1,1,0)</f>
        <v>1</v>
      </c>
      <c r="F555" s="1">
        <f>IF(C555="",0,IF(COUNTIFS($A$2:A555,A555,$B$2:B555,B555,$C$2:C555,C555)=1,1,0))</f>
        <v>1</v>
      </c>
    </row>
    <row r="556" spans="1:6" x14ac:dyDescent="0.2">
      <c r="A556" t="s">
        <v>976</v>
      </c>
      <c r="B556" t="s">
        <v>1059</v>
      </c>
      <c r="C556" t="s">
        <v>1265</v>
      </c>
      <c r="D556" t="s">
        <v>1271</v>
      </c>
      <c r="E556" s="1">
        <f>IF(COUNTIFS($A$2:A556,A556,$B$2:B556,B556)=1,1,0)</f>
        <v>1</v>
      </c>
      <c r="F556" s="1">
        <f>IF(C556="",0,IF(COUNTIFS($A$2:A556,A556,$B$2:B556,B556,$C$2:C556,C556)=1,1,0))</f>
        <v>1</v>
      </c>
    </row>
    <row r="557" spans="1:6" x14ac:dyDescent="0.2">
      <c r="A557" t="s">
        <v>976</v>
      </c>
      <c r="B557" t="s">
        <v>1059</v>
      </c>
      <c r="C557" t="s">
        <v>1253</v>
      </c>
      <c r="D557" t="s">
        <v>1254</v>
      </c>
      <c r="E557" s="1">
        <f>IF(COUNTIFS($A$2:A557,A557,$B$2:B557,B557)=1,1,0)</f>
        <v>0</v>
      </c>
      <c r="F557" s="1">
        <f>IF(C557="",0,IF(COUNTIFS($A$2:A557,A557,$B$2:B557,B557,$C$2:C557,C557)=1,1,0))</f>
        <v>1</v>
      </c>
    </row>
    <row r="558" spans="1:6" x14ac:dyDescent="0.2">
      <c r="A558" t="s">
        <v>979</v>
      </c>
      <c r="B558" t="s">
        <v>1061</v>
      </c>
      <c r="C558" t="s">
        <v>1268</v>
      </c>
      <c r="D558" t="s">
        <v>1269</v>
      </c>
      <c r="E558" s="1">
        <f>IF(COUNTIFS($A$2:A558,A558,$B$2:B558,B558)=1,1,0)</f>
        <v>1</v>
      </c>
      <c r="F558" s="1">
        <f>IF(C558="",0,IF(COUNTIFS($A$2:A558,A558,$B$2:B558,B558,$C$2:C558,C558)=1,1,0))</f>
        <v>1</v>
      </c>
    </row>
    <row r="559" spans="1:6" x14ac:dyDescent="0.2">
      <c r="A559" t="s">
        <v>979</v>
      </c>
      <c r="B559" t="s">
        <v>1063</v>
      </c>
      <c r="C559" t="s">
        <v>1263</v>
      </c>
      <c r="D559" t="s">
        <v>1264</v>
      </c>
      <c r="E559" s="1">
        <f>IF(COUNTIFS($A$2:A559,A559,$B$2:B559,B559)=1,1,0)</f>
        <v>1</v>
      </c>
      <c r="F559" s="1">
        <f>IF(C559="",0,IF(COUNTIFS($A$2:A559,A559,$B$2:B559,B559,$C$2:C559,C559)=1,1,0))</f>
        <v>1</v>
      </c>
    </row>
    <row r="560" spans="1:6" x14ac:dyDescent="0.2">
      <c r="A560" t="s">
        <v>979</v>
      </c>
      <c r="B560" t="s">
        <v>1059</v>
      </c>
      <c r="C560" t="s">
        <v>1246</v>
      </c>
      <c r="D560" t="s">
        <v>1247</v>
      </c>
      <c r="E560" s="1">
        <f>IF(COUNTIFS($A$2:A560,A560,$B$2:B560,B560)=1,1,0)</f>
        <v>1</v>
      </c>
      <c r="F560" s="1">
        <f>IF(C560="",0,IF(COUNTIFS($A$2:A560,A560,$B$2:B560,B560,$C$2:C560,C560)=1,1,0))</f>
        <v>1</v>
      </c>
    </row>
    <row r="561" spans="1:6" x14ac:dyDescent="0.2">
      <c r="A561" t="s">
        <v>982</v>
      </c>
      <c r="B561" t="s">
        <v>1061</v>
      </c>
      <c r="C561" t="s">
        <v>1249</v>
      </c>
      <c r="E561" s="1">
        <f>IF(COUNTIFS($A$2:A561,A561,$B$2:B561,B561)=1,1,0)</f>
        <v>1</v>
      </c>
      <c r="F561" s="1">
        <f>IF(C561="",0,IF(COUNTIFS($A$2:A561,A561,$B$2:B561,B561,$C$2:C561,C561)=1,1,0))</f>
        <v>1</v>
      </c>
    </row>
    <row r="562" spans="1:6" x14ac:dyDescent="0.2">
      <c r="A562" t="s">
        <v>982</v>
      </c>
      <c r="B562" t="s">
        <v>1063</v>
      </c>
      <c r="C562" t="s">
        <v>1259</v>
      </c>
      <c r="D562" t="s">
        <v>1274</v>
      </c>
      <c r="E562" s="1">
        <f>IF(COUNTIFS($A$2:A562,A562,$B$2:B562,B562)=1,1,0)</f>
        <v>1</v>
      </c>
      <c r="F562" s="1">
        <f>IF(C562="",0,IF(COUNTIFS($A$2:A562,A562,$B$2:B562,B562,$C$2:C562,C562)=1,1,0))</f>
        <v>1</v>
      </c>
    </row>
    <row r="563" spans="1:6" x14ac:dyDescent="0.2">
      <c r="A563" t="s">
        <v>986</v>
      </c>
      <c r="B563" t="s">
        <v>1059</v>
      </c>
      <c r="C563" t="s">
        <v>1255</v>
      </c>
      <c r="D563" t="s">
        <v>1270</v>
      </c>
      <c r="E563" s="1">
        <f>IF(COUNTIFS($A$2:A563,A563,$B$2:B563,B563)=1,1,0)</f>
        <v>1</v>
      </c>
      <c r="F563" s="1">
        <f>IF(C563="",0,IF(COUNTIFS($A$2:A563,A563,$B$2:B563,B563,$C$2:C563,C563)=1,1,0))</f>
        <v>1</v>
      </c>
    </row>
    <row r="564" spans="1:6" x14ac:dyDescent="0.2">
      <c r="A564" t="s">
        <v>986</v>
      </c>
      <c r="B564" t="s">
        <v>1059</v>
      </c>
      <c r="C564" t="s">
        <v>1265</v>
      </c>
      <c r="D564" t="s">
        <v>1271</v>
      </c>
      <c r="E564" s="1">
        <f>IF(COUNTIFS($A$2:A564,A564,$B$2:B564,B564)=1,1,0)</f>
        <v>0</v>
      </c>
      <c r="F564" s="1">
        <f>IF(C564="",0,IF(COUNTIFS($A$2:A564,A564,$B$2:B564,B564,$C$2:C564,C564)=1,1,0))</f>
        <v>1</v>
      </c>
    </row>
    <row r="565" spans="1:6" x14ac:dyDescent="0.2">
      <c r="A565" t="s">
        <v>986</v>
      </c>
      <c r="B565" t="s">
        <v>1059</v>
      </c>
      <c r="C565" t="s">
        <v>1265</v>
      </c>
      <c r="D565" t="s">
        <v>1266</v>
      </c>
      <c r="E565" s="1">
        <f>IF(COUNTIFS($A$2:A565,A565,$B$2:B565,B565)=1,1,0)</f>
        <v>0</v>
      </c>
      <c r="F565" s="1">
        <f>IF(C565="",0,IF(COUNTIFS($A$2:A565,A565,$B$2:B565,B565,$C$2:C565,C565)=1,1,0))</f>
        <v>0</v>
      </c>
    </row>
    <row r="566" spans="1:6" x14ac:dyDescent="0.2">
      <c r="A566" t="s">
        <v>990</v>
      </c>
      <c r="B566" t="s">
        <v>1061</v>
      </c>
      <c r="C566" t="s">
        <v>1249</v>
      </c>
      <c r="D566" t="s">
        <v>1257</v>
      </c>
      <c r="E566" s="1">
        <f>IF(COUNTIFS($A$2:A566,A566,$B$2:B566,B566)=1,1,0)</f>
        <v>1</v>
      </c>
      <c r="F566" s="1">
        <f>IF(C566="",0,IF(COUNTIFS($A$2:A566,A566,$B$2:B566,B566,$C$2:C566,C566)=1,1,0))</f>
        <v>1</v>
      </c>
    </row>
    <row r="567" spans="1:6" x14ac:dyDescent="0.2">
      <c r="A567" t="s">
        <v>990</v>
      </c>
      <c r="B567" t="s">
        <v>1061</v>
      </c>
      <c r="C567" t="s">
        <v>1249</v>
      </c>
      <c r="E567" s="1">
        <f>IF(COUNTIFS($A$2:A567,A567,$B$2:B567,B567)=1,1,0)</f>
        <v>0</v>
      </c>
      <c r="F567" s="1">
        <f>IF(C567="",0,IF(COUNTIFS($A$2:A567,A567,$B$2:B567,B567,$C$2:C567,C567)=1,1,0))</f>
        <v>0</v>
      </c>
    </row>
    <row r="568" spans="1:6" x14ac:dyDescent="0.2">
      <c r="A568" t="s">
        <v>990</v>
      </c>
      <c r="B568" t="s">
        <v>1063</v>
      </c>
      <c r="C568" t="s">
        <v>1263</v>
      </c>
      <c r="D568" t="s">
        <v>1264</v>
      </c>
      <c r="E568" s="1">
        <f>IF(COUNTIFS($A$2:A568,A568,$B$2:B568,B568)=1,1,0)</f>
        <v>1</v>
      </c>
      <c r="F568" s="1">
        <f>IF(C568="",0,IF(COUNTIFS($A$2:A568,A568,$B$2:B568,B568,$C$2:C568,C568)=1,1,0))</f>
        <v>1</v>
      </c>
    </row>
    <row r="569" spans="1:6" x14ac:dyDescent="0.2">
      <c r="A569" t="s">
        <v>990</v>
      </c>
      <c r="B569" t="s">
        <v>1059</v>
      </c>
      <c r="C569" t="s">
        <v>1244</v>
      </c>
      <c r="D569" t="s">
        <v>1245</v>
      </c>
      <c r="E569" s="1">
        <f>IF(COUNTIFS($A$2:A569,A569,$B$2:B569,B569)=1,1,0)</f>
        <v>1</v>
      </c>
      <c r="F569" s="1">
        <f>IF(C569="",0,IF(COUNTIFS($A$2:A569,A569,$B$2:B569,B569,$C$2:C569,C569)=1,1,0))</f>
        <v>1</v>
      </c>
    </row>
    <row r="570" spans="1:6" x14ac:dyDescent="0.2">
      <c r="A570" t="s">
        <v>990</v>
      </c>
      <c r="B570" t="s">
        <v>1059</v>
      </c>
      <c r="C570" t="s">
        <v>1261</v>
      </c>
      <c r="E570" s="1">
        <f>IF(COUNTIFS($A$2:A570,A570,$B$2:B570,B570)=1,1,0)</f>
        <v>0</v>
      </c>
      <c r="F570" s="1">
        <f>IF(C570="",0,IF(COUNTIFS($A$2:A570,A570,$B$2:B570,B570,$C$2:C570,C570)=1,1,0))</f>
        <v>1</v>
      </c>
    </row>
    <row r="571" spans="1:6" x14ac:dyDescent="0.2">
      <c r="A571" t="s">
        <v>994</v>
      </c>
      <c r="B571" t="s">
        <v>1059</v>
      </c>
      <c r="C571" t="s">
        <v>1261</v>
      </c>
      <c r="D571" t="s">
        <v>1262</v>
      </c>
      <c r="E571" s="1">
        <f>IF(COUNTIFS($A$2:A571,A571,$B$2:B571,B571)=1,1,0)</f>
        <v>1</v>
      </c>
      <c r="F571" s="1">
        <f>IF(C571="",0,IF(COUNTIFS($A$2:A571,A571,$B$2:B571,B571,$C$2:C571,C571)=1,1,0))</f>
        <v>1</v>
      </c>
    </row>
    <row r="572" spans="1:6" x14ac:dyDescent="0.2">
      <c r="A572" t="s">
        <v>994</v>
      </c>
      <c r="B572" t="s">
        <v>1063</v>
      </c>
      <c r="C572" t="s">
        <v>1263</v>
      </c>
      <c r="D572" t="s">
        <v>1264</v>
      </c>
      <c r="E572" s="1">
        <f>IF(COUNTIFS($A$2:A572,A572,$B$2:B572,B572)=1,1,0)</f>
        <v>1</v>
      </c>
      <c r="F572" s="1">
        <f>IF(C572="",0,IF(COUNTIFS($A$2:A572,A572,$B$2:B572,B572,$C$2:C572,C572)=1,1,0))</f>
        <v>1</v>
      </c>
    </row>
    <row r="573" spans="1:6" x14ac:dyDescent="0.2">
      <c r="A573" t="s">
        <v>998</v>
      </c>
      <c r="B573" t="s">
        <v>1063</v>
      </c>
      <c r="C573" t="s">
        <v>1263</v>
      </c>
      <c r="D573" t="s">
        <v>1264</v>
      </c>
      <c r="E573" s="1">
        <f>IF(COUNTIFS($A$2:A573,A573,$B$2:B573,B573)=1,1,0)</f>
        <v>1</v>
      </c>
      <c r="F573" s="1">
        <f>IF(C573="",0,IF(COUNTIFS($A$2:A573,A573,$B$2:B573,B573,$C$2:C573,C573)=1,1,0))</f>
        <v>1</v>
      </c>
    </row>
    <row r="574" spans="1:6" x14ac:dyDescent="0.2">
      <c r="A574" t="s">
        <v>998</v>
      </c>
      <c r="B574" t="s">
        <v>1063</v>
      </c>
      <c r="C574" t="s">
        <v>1251</v>
      </c>
      <c r="D574" t="s">
        <v>1276</v>
      </c>
      <c r="E574" s="1">
        <f>IF(COUNTIFS($A$2:A574,A574,$B$2:B574,B574)=1,1,0)</f>
        <v>0</v>
      </c>
      <c r="F574" s="1">
        <f>IF(C574="",0,IF(COUNTIFS($A$2:A574,A574,$B$2:B574,B574,$C$2:C574,C574)=1,1,0))</f>
        <v>1</v>
      </c>
    </row>
    <row r="575" spans="1:6" x14ac:dyDescent="0.2">
      <c r="A575" t="s">
        <v>998</v>
      </c>
      <c r="B575" t="s">
        <v>1061</v>
      </c>
      <c r="C575" t="s">
        <v>1249</v>
      </c>
      <c r="D575" t="s">
        <v>1278</v>
      </c>
      <c r="E575" s="1">
        <f>IF(COUNTIFS($A$2:A575,A575,$B$2:B575,B575)=1,1,0)</f>
        <v>1</v>
      </c>
      <c r="F575" s="1">
        <f>IF(C575="",0,IF(COUNTIFS($A$2:A575,A575,$B$2:B575,B575,$C$2:C575,C575)=1,1,0))</f>
        <v>1</v>
      </c>
    </row>
    <row r="576" spans="1:6" x14ac:dyDescent="0.2">
      <c r="A576" t="s">
        <v>998</v>
      </c>
      <c r="B576" t="s">
        <v>1061</v>
      </c>
      <c r="C576" t="s">
        <v>1249</v>
      </c>
      <c r="E576" s="1">
        <f>IF(COUNTIFS($A$2:A576,A576,$B$2:B576,B576)=1,1,0)</f>
        <v>0</v>
      </c>
      <c r="F576" s="1">
        <f>IF(C576="",0,IF(COUNTIFS($A$2:A576,A576,$B$2:B576,B576,$C$2:C576,C576)=1,1,0))</f>
        <v>0</v>
      </c>
    </row>
    <row r="577" spans="1:6" x14ac:dyDescent="0.2">
      <c r="A577" t="s">
        <v>998</v>
      </c>
      <c r="B577" t="s">
        <v>1059</v>
      </c>
      <c r="C577" t="s">
        <v>1253</v>
      </c>
      <c r="D577" t="s">
        <v>1254</v>
      </c>
      <c r="E577" s="1">
        <f>IF(COUNTIFS($A$2:A577,A577,$B$2:B577,B577)=1,1,0)</f>
        <v>1</v>
      </c>
      <c r="F577" s="1">
        <f>IF(C577="",0,IF(COUNTIFS($A$2:A577,A577,$B$2:B577,B577,$C$2:C577,C577)=1,1,0))</f>
        <v>1</v>
      </c>
    </row>
    <row r="578" spans="1:6" x14ac:dyDescent="0.2">
      <c r="A578" t="s">
        <v>1002</v>
      </c>
      <c r="B578" t="s">
        <v>1059</v>
      </c>
      <c r="C578" t="s">
        <v>1253</v>
      </c>
      <c r="D578" t="s">
        <v>1254</v>
      </c>
      <c r="E578" s="1">
        <f>IF(COUNTIFS($A$2:A578,A578,$B$2:B578,B578)=1,1,0)</f>
        <v>1</v>
      </c>
      <c r="F578" s="1">
        <f>IF(C578="",0,IF(COUNTIFS($A$2:A578,A578,$B$2:B578,B578,$C$2:C578,C578)=1,1,0))</f>
        <v>1</v>
      </c>
    </row>
    <row r="579" spans="1:6" x14ac:dyDescent="0.2">
      <c r="A579" t="s">
        <v>1002</v>
      </c>
      <c r="B579" t="s">
        <v>1061</v>
      </c>
      <c r="C579" t="s">
        <v>1249</v>
      </c>
      <c r="E579" s="1">
        <f>IF(COUNTIFS($A$2:A579,A579,$B$2:B579,B579)=1,1,0)</f>
        <v>1</v>
      </c>
      <c r="F579" s="1">
        <f>IF(C579="",0,IF(COUNTIFS($A$2:A579,A579,$B$2:B579,B579,$C$2:C579,C579)=1,1,0))</f>
        <v>1</v>
      </c>
    </row>
    <row r="580" spans="1:6" x14ac:dyDescent="0.2">
      <c r="A580" t="s">
        <v>1002</v>
      </c>
      <c r="B580" t="s">
        <v>1063</v>
      </c>
      <c r="C580" t="s">
        <v>1251</v>
      </c>
      <c r="D580" t="s">
        <v>1252</v>
      </c>
      <c r="E580" s="1">
        <f>IF(COUNTIFS($A$2:A580,A580,$B$2:B580,B580)=1,1,0)</f>
        <v>1</v>
      </c>
      <c r="F580" s="1">
        <f>IF(C580="",0,IF(COUNTIFS($A$2:A580,A580,$B$2:B580,B580,$C$2:C580,C580)=1,1,0))</f>
        <v>1</v>
      </c>
    </row>
    <row r="581" spans="1:6" x14ac:dyDescent="0.2">
      <c r="A581" t="s">
        <v>1002</v>
      </c>
      <c r="B581" t="s">
        <v>1061</v>
      </c>
      <c r="C581" t="s">
        <v>1268</v>
      </c>
      <c r="D581" t="s">
        <v>1277</v>
      </c>
      <c r="E581" s="1">
        <f>IF(COUNTIFS($A$2:A581,A581,$B$2:B581,B581)=1,1,0)</f>
        <v>0</v>
      </c>
      <c r="F581" s="1">
        <f>IF(C581="",0,IF(COUNTIFS($A$2:A581,A581,$B$2:B581,B581,$C$2:C581,C581)=1,1,0))</f>
        <v>1</v>
      </c>
    </row>
    <row r="582" spans="1:6" x14ac:dyDescent="0.2">
      <c r="A582" t="s">
        <v>1002</v>
      </c>
      <c r="B582" t="s">
        <v>1061</v>
      </c>
      <c r="C582" t="s">
        <v>1249</v>
      </c>
      <c r="D582" t="s">
        <v>1250</v>
      </c>
      <c r="E582" s="1">
        <f>IF(COUNTIFS($A$2:A582,A582,$B$2:B582,B582)=1,1,0)</f>
        <v>0</v>
      </c>
      <c r="F582" s="1">
        <f>IF(C582="",0,IF(COUNTIFS($A$2:A582,A582,$B$2:B582,B582,$C$2:C582,C582)=1,1,0))</f>
        <v>0</v>
      </c>
    </row>
    <row r="583" spans="1:6" x14ac:dyDescent="0.2">
      <c r="A583" t="s">
        <v>1002</v>
      </c>
      <c r="B583" t="s">
        <v>1059</v>
      </c>
      <c r="C583" t="s">
        <v>1265</v>
      </c>
      <c r="D583" t="s">
        <v>1271</v>
      </c>
      <c r="E583" s="1">
        <f>IF(COUNTIFS($A$2:A583,A583,$B$2:B583,B583)=1,1,0)</f>
        <v>0</v>
      </c>
      <c r="F583" s="1">
        <f>IF(C583="",0,IF(COUNTIFS($A$2:A583,A583,$B$2:B583,B583,$C$2:C583,C583)=1,1,0))</f>
        <v>1</v>
      </c>
    </row>
    <row r="584" spans="1:6" x14ac:dyDescent="0.2">
      <c r="A584" t="s">
        <v>1006</v>
      </c>
      <c r="B584" t="s">
        <v>1059</v>
      </c>
      <c r="C584" t="s">
        <v>1255</v>
      </c>
      <c r="D584" t="s">
        <v>1270</v>
      </c>
      <c r="E584" s="1">
        <f>IF(COUNTIFS($A$2:A584,A584,$B$2:B584,B584)=1,1,0)</f>
        <v>1</v>
      </c>
      <c r="F584" s="1">
        <f>IF(C584="",0,IF(COUNTIFS($A$2:A584,A584,$B$2:B584,B584,$C$2:C584,C584)=1,1,0))</f>
        <v>1</v>
      </c>
    </row>
    <row r="585" spans="1:6" x14ac:dyDescent="0.2">
      <c r="A585" t="s">
        <v>1012</v>
      </c>
      <c r="B585" t="s">
        <v>1061</v>
      </c>
      <c r="C585" t="s">
        <v>1249</v>
      </c>
      <c r="E585" s="1">
        <f>IF(COUNTIFS($A$2:A585,A585,$B$2:B585,B585)=1,1,0)</f>
        <v>1</v>
      </c>
      <c r="F585" s="1">
        <f>IF(C585="",0,IF(COUNTIFS($A$2:A585,A585,$B$2:B585,B585,$C$2:C585,C585)=1,1,0))</f>
        <v>1</v>
      </c>
    </row>
    <row r="586" spans="1:6" x14ac:dyDescent="0.2">
      <c r="A586" t="s">
        <v>1012</v>
      </c>
      <c r="B586" t="s">
        <v>1061</v>
      </c>
      <c r="C586" t="s">
        <v>1249</v>
      </c>
      <c r="D586" t="s">
        <v>1257</v>
      </c>
      <c r="E586" s="1">
        <f>IF(COUNTIFS($A$2:A586,A586,$B$2:B586,B586)=1,1,0)</f>
        <v>0</v>
      </c>
      <c r="F586" s="1">
        <f>IF(C586="",0,IF(COUNTIFS($A$2:A586,A586,$B$2:B586,B586,$C$2:C586,C586)=1,1,0))</f>
        <v>0</v>
      </c>
    </row>
    <row r="587" spans="1:6" x14ac:dyDescent="0.2">
      <c r="A587" t="s">
        <v>1012</v>
      </c>
      <c r="B587" t="s">
        <v>1063</v>
      </c>
      <c r="C587" t="s">
        <v>1263</v>
      </c>
      <c r="D587" t="s">
        <v>1264</v>
      </c>
      <c r="E587" s="1">
        <f>IF(COUNTIFS($A$2:A587,A587,$B$2:B587,B587)=1,1,0)</f>
        <v>1</v>
      </c>
      <c r="F587" s="1">
        <f>IF(C587="",0,IF(COUNTIFS($A$2:A587,A587,$B$2:B587,B587,$C$2:C587,C587)=1,1,0))</f>
        <v>1</v>
      </c>
    </row>
    <row r="588" spans="1:6" x14ac:dyDescent="0.2">
      <c r="A588" t="s">
        <v>1012</v>
      </c>
      <c r="B588" t="s">
        <v>1059</v>
      </c>
      <c r="C588" t="s">
        <v>1261</v>
      </c>
      <c r="D588" t="s">
        <v>1273</v>
      </c>
      <c r="E588" s="1">
        <f>IF(COUNTIFS($A$2:A588,A588,$B$2:B588,B588)=1,1,0)</f>
        <v>1</v>
      </c>
      <c r="F588" s="1">
        <f>IF(C588="",0,IF(COUNTIFS($A$2:A588,A588,$B$2:B588,B588,$C$2:C588,C588)=1,1,0))</f>
        <v>1</v>
      </c>
    </row>
    <row r="589" spans="1:6" x14ac:dyDescent="0.2">
      <c r="A589" t="s">
        <v>1012</v>
      </c>
      <c r="B589" t="s">
        <v>1059</v>
      </c>
      <c r="C589" t="s">
        <v>1261</v>
      </c>
      <c r="D589" t="s">
        <v>1272</v>
      </c>
      <c r="E589" s="1">
        <f>IF(COUNTIFS($A$2:A589,A589,$B$2:B589,B589)=1,1,0)</f>
        <v>0</v>
      </c>
      <c r="F589" s="1">
        <f>IF(C589="",0,IF(COUNTIFS($A$2:A589,A589,$B$2:B589,B589,$C$2:C589,C589)=1,1,0))</f>
        <v>0</v>
      </c>
    </row>
    <row r="590" spans="1:6" x14ac:dyDescent="0.2">
      <c r="A590" t="s">
        <v>1016</v>
      </c>
      <c r="B590" t="s">
        <v>1059</v>
      </c>
      <c r="C590" t="s">
        <v>1261</v>
      </c>
      <c r="D590" t="s">
        <v>1272</v>
      </c>
      <c r="E590" s="1">
        <f>IF(COUNTIFS($A$2:A590,A590,$B$2:B590,B590)=1,1,0)</f>
        <v>1</v>
      </c>
      <c r="F590" s="1">
        <f>IF(C590="",0,IF(COUNTIFS($A$2:A590,A590,$B$2:B590,B590,$C$2:C590,C590)=1,1,0))</f>
        <v>1</v>
      </c>
    </row>
    <row r="591" spans="1:6" x14ac:dyDescent="0.2">
      <c r="A591" t="s">
        <v>1016</v>
      </c>
      <c r="B591" t="s">
        <v>1059</v>
      </c>
      <c r="C591" t="s">
        <v>1261</v>
      </c>
      <c r="D591" t="s">
        <v>1275</v>
      </c>
      <c r="E591" s="1">
        <f>IF(COUNTIFS($A$2:A591,A591,$B$2:B591,B591)=1,1,0)</f>
        <v>0</v>
      </c>
      <c r="F591" s="1">
        <f>IF(C591="",0,IF(COUNTIFS($A$2:A591,A591,$B$2:B591,B591,$C$2:C591,C591)=1,1,0))</f>
        <v>0</v>
      </c>
    </row>
    <row r="592" spans="1:6" x14ac:dyDescent="0.2">
      <c r="A592" t="s">
        <v>1016</v>
      </c>
      <c r="B592" t="s">
        <v>1059</v>
      </c>
      <c r="C592" t="s">
        <v>1255</v>
      </c>
      <c r="D592" t="s">
        <v>1270</v>
      </c>
      <c r="E592" s="1">
        <f>IF(COUNTIFS($A$2:A592,A592,$B$2:B592,B592)=1,1,0)</f>
        <v>0</v>
      </c>
      <c r="F592" s="1">
        <f>IF(C592="",0,IF(COUNTIFS($A$2:A592,A592,$B$2:B592,B592,$C$2:C592,C592)=1,1,0))</f>
        <v>1</v>
      </c>
    </row>
    <row r="593" spans="1:6" x14ac:dyDescent="0.2">
      <c r="A593" t="s">
        <v>1020</v>
      </c>
      <c r="B593" t="s">
        <v>1060</v>
      </c>
      <c r="E593" s="1">
        <f>IF(COUNTIFS($A$2:A593,A593,$B$2:B593,B593)=1,1,0)</f>
        <v>1</v>
      </c>
      <c r="F593" s="1">
        <f>IF(C593="",0,IF(COUNTIFS($A$2:A593,A593,$B$2:B593,B593,$C$2:C593,C593)=1,1,0))</f>
        <v>0</v>
      </c>
    </row>
    <row r="594" spans="1:6" x14ac:dyDescent="0.2">
      <c r="A594" t="s">
        <v>1022</v>
      </c>
      <c r="B594" t="s">
        <v>1063</v>
      </c>
      <c r="C594" t="s">
        <v>1263</v>
      </c>
      <c r="D594" t="s">
        <v>1264</v>
      </c>
      <c r="E594" s="1">
        <f>IF(COUNTIFS($A$2:A594,A594,$B$2:B594,B594)=1,1,0)</f>
        <v>1</v>
      </c>
      <c r="F594" s="1">
        <f>IF(C594="",0,IF(COUNTIFS($A$2:A594,A594,$B$2:B594,B594,$C$2:C594,C594)=1,1,0))</f>
        <v>1</v>
      </c>
    </row>
    <row r="595" spans="1:6" x14ac:dyDescent="0.2">
      <c r="A595" t="s">
        <v>1022</v>
      </c>
      <c r="B595" t="s">
        <v>1061</v>
      </c>
      <c r="C595" t="s">
        <v>1249</v>
      </c>
      <c r="D595" t="s">
        <v>1250</v>
      </c>
      <c r="E595" s="1">
        <f>IF(COUNTIFS($A$2:A595,A595,$B$2:B595,B595)=1,1,0)</f>
        <v>1</v>
      </c>
      <c r="F595" s="1">
        <f>IF(C595="",0,IF(COUNTIFS($A$2:A595,A595,$B$2:B595,B595,$C$2:C595,C595)=1,1,0))</f>
        <v>1</v>
      </c>
    </row>
    <row r="596" spans="1:6" x14ac:dyDescent="0.2">
      <c r="A596" t="s">
        <v>1022</v>
      </c>
      <c r="B596" t="s">
        <v>1059</v>
      </c>
      <c r="C596" t="s">
        <v>1261</v>
      </c>
      <c r="D596" t="s">
        <v>1262</v>
      </c>
      <c r="E596" s="1">
        <f>IF(COUNTIFS($A$2:A596,A596,$B$2:B596,B596)=1,1,0)</f>
        <v>1</v>
      </c>
      <c r="F596" s="1">
        <f>IF(C596="",0,IF(COUNTIFS($A$2:A596,A596,$B$2:B596,B596,$C$2:C596,C596)=1,1,0))</f>
        <v>1</v>
      </c>
    </row>
    <row r="597" spans="1:6" x14ac:dyDescent="0.2">
      <c r="A597" t="s">
        <v>1025</v>
      </c>
      <c r="B597" t="s">
        <v>1061</v>
      </c>
      <c r="C597" t="s">
        <v>1249</v>
      </c>
      <c r="E597" s="1">
        <f>IF(COUNTIFS($A$2:A597,A597,$B$2:B597,B597)=1,1,0)</f>
        <v>1</v>
      </c>
      <c r="F597" s="1">
        <f>IF(C597="",0,IF(COUNTIFS($A$2:A597,A597,$B$2:B597,B597,$C$2:C597,C597)=1,1,0))</f>
        <v>1</v>
      </c>
    </row>
    <row r="598" spans="1:6" x14ac:dyDescent="0.2">
      <c r="A598" t="s">
        <v>1025</v>
      </c>
      <c r="B598" t="s">
        <v>1059</v>
      </c>
      <c r="C598" t="s">
        <v>1244</v>
      </c>
      <c r="D598" t="s">
        <v>1245</v>
      </c>
      <c r="E598" s="1">
        <f>IF(COUNTIFS($A$2:A598,A598,$B$2:B598,B598)=1,1,0)</f>
        <v>1</v>
      </c>
      <c r="F598" s="1">
        <f>IF(C598="",0,IF(COUNTIFS($A$2:A598,A598,$B$2:B598,B598,$C$2:C598,C598)=1,1,0))</f>
        <v>1</v>
      </c>
    </row>
    <row r="599" spans="1:6" x14ac:dyDescent="0.2">
      <c r="A599" t="s">
        <v>1025</v>
      </c>
      <c r="B599" t="s">
        <v>1059</v>
      </c>
      <c r="C599" t="s">
        <v>1261</v>
      </c>
      <c r="D599" t="s">
        <v>1275</v>
      </c>
      <c r="E599" s="1">
        <f>IF(COUNTIFS($A$2:A599,A599,$B$2:B599,B599)=1,1,0)</f>
        <v>0</v>
      </c>
      <c r="F599" s="1">
        <f>IF(C599="",0,IF(COUNTIFS($A$2:A599,A599,$B$2:B599,B599,$C$2:C599,C599)=1,1,0))</f>
        <v>1</v>
      </c>
    </row>
    <row r="600" spans="1:6" x14ac:dyDescent="0.2">
      <c r="A600" t="s">
        <v>1025</v>
      </c>
      <c r="B600" t="s">
        <v>1063</v>
      </c>
      <c r="C600" t="s">
        <v>1251</v>
      </c>
      <c r="D600" t="s">
        <v>1276</v>
      </c>
      <c r="E600" s="1">
        <f>IF(COUNTIFS($A$2:A600,A600,$B$2:B600,B600)=1,1,0)</f>
        <v>1</v>
      </c>
      <c r="F600" s="1">
        <f>IF(C600="",0,IF(COUNTIFS($A$2:A600,A600,$B$2:B600,B600,$C$2:C600,C600)=1,1,0))</f>
        <v>1</v>
      </c>
    </row>
    <row r="601" spans="1:6" x14ac:dyDescent="0.2">
      <c r="A601" t="s">
        <v>1025</v>
      </c>
      <c r="B601" t="s">
        <v>1063</v>
      </c>
      <c r="C601" t="s">
        <v>1251</v>
      </c>
      <c r="D601" t="s">
        <v>1252</v>
      </c>
      <c r="E601" s="1">
        <f>IF(COUNTIFS($A$2:A601,A601,$B$2:B601,B601)=1,1,0)</f>
        <v>0</v>
      </c>
      <c r="F601" s="1">
        <f>IF(C601="",0,IF(COUNTIFS($A$2:A601,A601,$B$2:B601,B601,$C$2:C601,C601)=1,1,0))</f>
        <v>0</v>
      </c>
    </row>
    <row r="602" spans="1:6" x14ac:dyDescent="0.2">
      <c r="A602" t="s">
        <v>1025</v>
      </c>
      <c r="B602" t="s">
        <v>1063</v>
      </c>
      <c r="C602" t="s">
        <v>1263</v>
      </c>
      <c r="D602" t="s">
        <v>1264</v>
      </c>
      <c r="E602" s="1">
        <f>IF(COUNTIFS($A$2:A602,A602,$B$2:B602,B602)=1,1,0)</f>
        <v>0</v>
      </c>
      <c r="F602" s="1">
        <f>IF(C602="",0,IF(COUNTIFS($A$2:A602,A602,$B$2:B602,B602,$C$2:C602,C602)=1,1,0))</f>
        <v>1</v>
      </c>
    </row>
    <row r="603" spans="1:6" x14ac:dyDescent="0.2">
      <c r="A603" t="s">
        <v>1028</v>
      </c>
      <c r="B603" t="s">
        <v>1063</v>
      </c>
      <c r="C603" t="s">
        <v>1259</v>
      </c>
      <c r="D603" t="s">
        <v>1279</v>
      </c>
      <c r="E603" s="1">
        <f>IF(COUNTIFS($A$2:A603,A603,$B$2:B603,B603)=1,1,0)</f>
        <v>1</v>
      </c>
      <c r="F603" s="1">
        <f>IF(C603="",0,IF(COUNTIFS($A$2:A603,A603,$B$2:B603,B603,$C$2:C603,C603)=1,1,0))</f>
        <v>1</v>
      </c>
    </row>
    <row r="604" spans="1:6" x14ac:dyDescent="0.2">
      <c r="A604" t="s">
        <v>1028</v>
      </c>
      <c r="B604" t="s">
        <v>1063</v>
      </c>
      <c r="C604" t="s">
        <v>1263</v>
      </c>
      <c r="D604" t="s">
        <v>1264</v>
      </c>
      <c r="E604" s="1">
        <f>IF(COUNTIFS($A$2:A604,A604,$B$2:B604,B604)=1,1,0)</f>
        <v>0</v>
      </c>
      <c r="F604" s="1">
        <f>IF(C604="",0,IF(COUNTIFS($A$2:A604,A604,$B$2:B604,B604,$C$2:C604,C604)=1,1,0))</f>
        <v>1</v>
      </c>
    </row>
    <row r="605" spans="1:6" x14ac:dyDescent="0.2">
      <c r="A605" t="s">
        <v>1028</v>
      </c>
      <c r="B605" t="s">
        <v>1063</v>
      </c>
      <c r="C605" t="s">
        <v>1251</v>
      </c>
      <c r="D605" t="s">
        <v>1276</v>
      </c>
      <c r="E605" s="1">
        <f>IF(COUNTIFS($A$2:A605,A605,$B$2:B605,B605)=1,1,0)</f>
        <v>0</v>
      </c>
      <c r="F605" s="1">
        <f>IF(C605="",0,IF(COUNTIFS($A$2:A605,A605,$B$2:B605,B605,$C$2:C605,C605)=1,1,0))</f>
        <v>1</v>
      </c>
    </row>
    <row r="606" spans="1:6" x14ac:dyDescent="0.2">
      <c r="A606" t="s">
        <v>1031</v>
      </c>
      <c r="B606" t="s">
        <v>1059</v>
      </c>
      <c r="C606" t="s">
        <v>1246</v>
      </c>
      <c r="D606" t="s">
        <v>1247</v>
      </c>
      <c r="E606" s="1">
        <f>IF(COUNTIFS($A$2:A606,A606,$B$2:B606,B606)=1,1,0)</f>
        <v>1</v>
      </c>
      <c r="F606" s="1">
        <f>IF(C606="",0,IF(COUNTIFS($A$2:A606,A606,$B$2:B606,B606,$C$2:C606,C606)=1,1,0))</f>
        <v>1</v>
      </c>
    </row>
    <row r="607" spans="1:6" x14ac:dyDescent="0.2">
      <c r="A607" t="s">
        <v>1031</v>
      </c>
      <c r="B607" t="s">
        <v>1063</v>
      </c>
      <c r="C607" t="s">
        <v>1251</v>
      </c>
      <c r="D607" t="s">
        <v>1276</v>
      </c>
      <c r="E607" s="1">
        <f>IF(COUNTIFS($A$2:A607,A607,$B$2:B607,B607)=1,1,0)</f>
        <v>1</v>
      </c>
      <c r="F607" s="1">
        <f>IF(C607="",0,IF(COUNTIFS($A$2:A607,A607,$B$2:B607,B607,$C$2:C607,C607)=1,1,0))</f>
        <v>1</v>
      </c>
    </row>
    <row r="608" spans="1:6" x14ac:dyDescent="0.2">
      <c r="A608" t="s">
        <v>1031</v>
      </c>
      <c r="B608" t="s">
        <v>1061</v>
      </c>
      <c r="C608" t="s">
        <v>1249</v>
      </c>
      <c r="E608" s="1">
        <f>IF(COUNTIFS($A$2:A608,A608,$B$2:B608,B608)=1,1,0)</f>
        <v>1</v>
      </c>
      <c r="F608" s="1">
        <f>IF(C608="",0,IF(COUNTIFS($A$2:A608,A608,$B$2:B608,B608,$C$2:C608,C608)=1,1,0))</f>
        <v>1</v>
      </c>
    </row>
    <row r="609" spans="1:6" x14ac:dyDescent="0.2">
      <c r="A609" t="s">
        <v>1031</v>
      </c>
      <c r="B609" t="s">
        <v>1063</v>
      </c>
      <c r="C609" t="s">
        <v>1259</v>
      </c>
      <c r="E609" s="1">
        <f>IF(COUNTIFS($A$2:A609,A609,$B$2:B609,B609)=1,1,0)</f>
        <v>0</v>
      </c>
      <c r="F609" s="1">
        <f>IF(C609="",0,IF(COUNTIFS($A$2:A609,A609,$B$2:B609,B609,$C$2:C609,C609)=1,1,0))</f>
        <v>1</v>
      </c>
    </row>
    <row r="610" spans="1:6" x14ac:dyDescent="0.2">
      <c r="A610" t="s">
        <v>1035</v>
      </c>
      <c r="B610" t="s">
        <v>1059</v>
      </c>
      <c r="C610" t="s">
        <v>1246</v>
      </c>
      <c r="D610" t="s">
        <v>1247</v>
      </c>
      <c r="E610" s="1">
        <f>IF(COUNTIFS($A$2:A610,A610,$B$2:B610,B610)=1,1,0)</f>
        <v>1</v>
      </c>
      <c r="F610" s="1">
        <f>IF(C610="",0,IF(COUNTIFS($A$2:A610,A610,$B$2:B610,B610,$C$2:C610,C610)=1,1,0))</f>
        <v>1</v>
      </c>
    </row>
    <row r="611" spans="1:6" x14ac:dyDescent="0.2">
      <c r="A611" t="s">
        <v>1035</v>
      </c>
      <c r="B611" t="s">
        <v>1061</v>
      </c>
      <c r="C611" t="s">
        <v>1249</v>
      </c>
      <c r="D611" t="s">
        <v>1278</v>
      </c>
      <c r="E611" s="1">
        <f>IF(COUNTIFS($A$2:A611,A611,$B$2:B611,B611)=1,1,0)</f>
        <v>1</v>
      </c>
      <c r="F611" s="1">
        <f>IF(C611="",0,IF(COUNTIFS($A$2:A611,A611,$B$2:B611,B611,$C$2:C611,C611)=1,1,0))</f>
        <v>1</v>
      </c>
    </row>
    <row r="612" spans="1:6" x14ac:dyDescent="0.2">
      <c r="A612" t="s">
        <v>1035</v>
      </c>
      <c r="B612" t="s">
        <v>1061</v>
      </c>
      <c r="C612" t="s">
        <v>1249</v>
      </c>
      <c r="D612" t="s">
        <v>1257</v>
      </c>
      <c r="E612" s="1">
        <f>IF(COUNTIFS($A$2:A612,A612,$B$2:B612,B612)=1,1,0)</f>
        <v>0</v>
      </c>
      <c r="F612" s="1">
        <f>IF(C612="",0,IF(COUNTIFS($A$2:A612,A612,$B$2:B612,B612,$C$2:C612,C612)=1,1,0))</f>
        <v>0</v>
      </c>
    </row>
    <row r="613" spans="1:6" x14ac:dyDescent="0.2">
      <c r="A613" t="s">
        <v>1035</v>
      </c>
      <c r="B613" t="s">
        <v>1063</v>
      </c>
      <c r="C613" t="s">
        <v>1251</v>
      </c>
      <c r="D613" t="s">
        <v>1276</v>
      </c>
      <c r="E613" s="1">
        <f>IF(COUNTIFS($A$2:A613,A613,$B$2:B613,B613)=1,1,0)</f>
        <v>1</v>
      </c>
      <c r="F613" s="1">
        <f>IF(C613="",0,IF(COUNTIFS($A$2:A613,A613,$B$2:B613,B613,$C$2:C613,C613)=1,1,0))</f>
        <v>1</v>
      </c>
    </row>
    <row r="614" spans="1:6" x14ac:dyDescent="0.2">
      <c r="A614" t="s">
        <v>1035</v>
      </c>
      <c r="B614" t="s">
        <v>1063</v>
      </c>
      <c r="C614" t="s">
        <v>1251</v>
      </c>
      <c r="D614" t="s">
        <v>1258</v>
      </c>
      <c r="E614" s="1">
        <f>IF(COUNTIFS($A$2:A614,A614,$B$2:B614,B614)=1,1,0)</f>
        <v>0</v>
      </c>
      <c r="F614" s="1">
        <f>IF(C614="",0,IF(COUNTIFS($A$2:A614,A614,$B$2:B614,B614,$C$2:C614,C614)=1,1,0))</f>
        <v>0</v>
      </c>
    </row>
    <row r="615" spans="1:6" x14ac:dyDescent="0.2">
      <c r="A615" t="s">
        <v>1035</v>
      </c>
      <c r="B615" t="s">
        <v>1063</v>
      </c>
      <c r="C615" t="s">
        <v>1259</v>
      </c>
      <c r="E615" s="1">
        <f>IF(COUNTIFS($A$2:A615,A615,$B$2:B615,B615)=1,1,0)</f>
        <v>0</v>
      </c>
      <c r="F615" s="1">
        <f>IF(C615="",0,IF(COUNTIFS($A$2:A615,A615,$B$2:B615,B615,$C$2:C615,C615)=1,1,0))</f>
        <v>1</v>
      </c>
    </row>
    <row r="616" spans="1:6" x14ac:dyDescent="0.2">
      <c r="A616" t="s">
        <v>1035</v>
      </c>
      <c r="B616" t="s">
        <v>1059</v>
      </c>
      <c r="C616" t="s">
        <v>1261</v>
      </c>
      <c r="E616" s="1">
        <f>IF(COUNTIFS($A$2:A616,A616,$B$2:B616,B616)=1,1,0)</f>
        <v>0</v>
      </c>
      <c r="F616" s="1">
        <f>IF(C616="",0,IF(COUNTIFS($A$2:A616,A616,$B$2:B616,B616,$C$2:C616,C616)=1,1,0))</f>
        <v>1</v>
      </c>
    </row>
    <row r="617" spans="1:6" x14ac:dyDescent="0.2">
      <c r="A617" t="s">
        <v>1035</v>
      </c>
      <c r="B617" t="s">
        <v>1059</v>
      </c>
      <c r="C617" t="s">
        <v>1261</v>
      </c>
      <c r="D617" t="s">
        <v>1272</v>
      </c>
      <c r="E617" s="1">
        <f>IF(COUNTIFS($A$2:A617,A617,$B$2:B617,B617)=1,1,0)</f>
        <v>0</v>
      </c>
      <c r="F617" s="1">
        <f>IF(C617="",0,IF(COUNTIFS($A$2:A617,A617,$B$2:B617,B617,$C$2:C617,C617)=1,1,0))</f>
        <v>0</v>
      </c>
    </row>
    <row r="618" spans="1:6" x14ac:dyDescent="0.2">
      <c r="A618" t="s">
        <v>1039</v>
      </c>
      <c r="B618" t="s">
        <v>1061</v>
      </c>
      <c r="C618" t="s">
        <v>1249</v>
      </c>
      <c r="E618" s="1">
        <f>IF(COUNTIFS($A$2:A618,A618,$B$2:B618,B618)=1,1,0)</f>
        <v>1</v>
      </c>
      <c r="F618" s="1">
        <f>IF(C618="",0,IF(COUNTIFS($A$2:A618,A618,$B$2:B618,B618,$C$2:C618,C618)=1,1,0))</f>
        <v>1</v>
      </c>
    </row>
    <row r="619" spans="1:6" x14ac:dyDescent="0.2">
      <c r="A619" t="s">
        <v>1039</v>
      </c>
      <c r="B619" t="s">
        <v>1059</v>
      </c>
      <c r="C619" t="s">
        <v>1253</v>
      </c>
      <c r="D619" t="s">
        <v>1254</v>
      </c>
      <c r="E619" s="1">
        <f>IF(COUNTIFS($A$2:A619,A619,$B$2:B619,B619)=1,1,0)</f>
        <v>1</v>
      </c>
      <c r="F619" s="1">
        <f>IF(C619="",0,IF(COUNTIFS($A$2:A619,A619,$B$2:B619,B619,$C$2:C619,C619)=1,1,0))</f>
        <v>1</v>
      </c>
    </row>
    <row r="620" spans="1:6" x14ac:dyDescent="0.2">
      <c r="A620" t="s">
        <v>1039</v>
      </c>
      <c r="B620" t="s">
        <v>1059</v>
      </c>
      <c r="C620" t="s">
        <v>1261</v>
      </c>
      <c r="D620" t="s">
        <v>1273</v>
      </c>
      <c r="E620" s="1">
        <f>IF(COUNTIFS($A$2:A620,A620,$B$2:B620,B620)=1,1,0)</f>
        <v>0</v>
      </c>
      <c r="F620" s="1">
        <f>IF(C620="",0,IF(COUNTIFS($A$2:A620,A620,$B$2:B620,B620,$C$2:C620,C620)=1,1,0))</f>
        <v>1</v>
      </c>
    </row>
    <row r="621" spans="1:6" x14ac:dyDescent="0.2">
      <c r="A621" t="s">
        <v>1039</v>
      </c>
      <c r="B621" t="s">
        <v>1059</v>
      </c>
      <c r="C621" t="s">
        <v>1265</v>
      </c>
      <c r="D621" t="s">
        <v>1266</v>
      </c>
      <c r="E621" s="1">
        <f>IF(COUNTIFS($A$2:A621,A621,$B$2:B621,B621)=1,1,0)</f>
        <v>0</v>
      </c>
      <c r="F621" s="1">
        <f>IF(C621="",0,IF(COUNTIFS($A$2:A621,A621,$B$2:B621,B621,$C$2:C621,C621)=1,1,0))</f>
        <v>1</v>
      </c>
    </row>
    <row r="622" spans="1:6" x14ac:dyDescent="0.2">
      <c r="A622" t="s">
        <v>1043</v>
      </c>
      <c r="B622" t="s">
        <v>1059</v>
      </c>
      <c r="C622" t="s">
        <v>1246</v>
      </c>
      <c r="D622" t="s">
        <v>1247</v>
      </c>
      <c r="E622" s="1">
        <f>IF(COUNTIFS($A$2:A622,A622,$B$2:B622,B622)=1,1,0)</f>
        <v>1</v>
      </c>
      <c r="F622" s="1">
        <f>IF(C622="",0,IF(COUNTIFS($A$2:A622,A622,$B$2:B622,B622,$C$2:C622,C622)=1,1,0))</f>
        <v>1</v>
      </c>
    </row>
    <row r="623" spans="1:6" x14ac:dyDescent="0.2">
      <c r="A623" t="s">
        <v>1043</v>
      </c>
      <c r="B623" t="s">
        <v>1063</v>
      </c>
      <c r="C623" t="s">
        <v>1251</v>
      </c>
      <c r="D623" t="s">
        <v>1258</v>
      </c>
      <c r="E623" s="1">
        <f>IF(COUNTIFS($A$2:A623,A623,$B$2:B623,B623)=1,1,0)</f>
        <v>1</v>
      </c>
      <c r="F623" s="1">
        <f>IF(C623="",0,IF(COUNTIFS($A$2:A623,A623,$B$2:B623,B623,$C$2:C623,C623)=1,1,0))</f>
        <v>1</v>
      </c>
    </row>
    <row r="624" spans="1:6" x14ac:dyDescent="0.2">
      <c r="A624" t="s">
        <v>1043</v>
      </c>
      <c r="B624" t="s">
        <v>1063</v>
      </c>
      <c r="C624" t="s">
        <v>1251</v>
      </c>
      <c r="D624" t="s">
        <v>1252</v>
      </c>
      <c r="E624" s="1">
        <f>IF(COUNTIFS($A$2:A624,A624,$B$2:B624,B624)=1,1,0)</f>
        <v>0</v>
      </c>
      <c r="F624" s="1">
        <f>IF(C624="",0,IF(COUNTIFS($A$2:A624,A624,$B$2:B624,B624,$C$2:C624,C624)=1,1,0))</f>
        <v>0</v>
      </c>
    </row>
    <row r="625" spans="1:6" x14ac:dyDescent="0.2">
      <c r="A625" t="s">
        <v>1043</v>
      </c>
      <c r="B625" t="s">
        <v>1059</v>
      </c>
      <c r="C625" t="s">
        <v>1261</v>
      </c>
      <c r="D625" t="s">
        <v>1273</v>
      </c>
      <c r="E625" s="1">
        <f>IF(COUNTIFS($A$2:A625,A625,$B$2:B625,B625)=1,1,0)</f>
        <v>0</v>
      </c>
      <c r="F625" s="1">
        <f>IF(C625="",0,IF(COUNTIFS($A$2:A625,A625,$B$2:B625,B625,$C$2:C625,C625)=1,1,0))</f>
        <v>1</v>
      </c>
    </row>
    <row r="626" spans="1:6" x14ac:dyDescent="0.2">
      <c r="A626" t="s">
        <v>1043</v>
      </c>
      <c r="B626" t="s">
        <v>1061</v>
      </c>
      <c r="C626" t="s">
        <v>1249</v>
      </c>
      <c r="D626" t="s">
        <v>1278</v>
      </c>
      <c r="E626" s="1">
        <f>IF(COUNTIFS($A$2:A626,A626,$B$2:B626,B626)=1,1,0)</f>
        <v>1</v>
      </c>
      <c r="F626" s="1">
        <f>IF(C626="",0,IF(COUNTIFS($A$2:A626,A626,$B$2:B626,B626,$C$2:C626,C626)=1,1,0))</f>
        <v>1</v>
      </c>
    </row>
    <row r="627" spans="1:6" x14ac:dyDescent="0.2">
      <c r="A627" t="s">
        <v>1043</v>
      </c>
      <c r="B627" t="s">
        <v>1061</v>
      </c>
      <c r="C627" t="s">
        <v>1268</v>
      </c>
      <c r="D627" t="s">
        <v>1277</v>
      </c>
      <c r="E627" s="1">
        <f>IF(COUNTIFS($A$2:A627,A627,$B$2:B627,B627)=1,1,0)</f>
        <v>0</v>
      </c>
      <c r="F627" s="1">
        <f>IF(C627="",0,IF(COUNTIFS($A$2:A627,A627,$B$2:B627,B627,$C$2:C627,C627)=1,1,0))</f>
        <v>1</v>
      </c>
    </row>
    <row r="628" spans="1:6" x14ac:dyDescent="0.2">
      <c r="A628" t="s">
        <v>1043</v>
      </c>
      <c r="B628" t="s">
        <v>1063</v>
      </c>
      <c r="C628" t="s">
        <v>1263</v>
      </c>
      <c r="D628" t="s">
        <v>1264</v>
      </c>
      <c r="E628" s="1">
        <f>IF(COUNTIFS($A$2:A628,A628,$B$2:B628,B628)=1,1,0)</f>
        <v>0</v>
      </c>
      <c r="F628" s="1">
        <f>IF(C628="",0,IF(COUNTIFS($A$2:A628,A628,$B$2:B628,B628,$C$2:C628,C628)=1,1,0))</f>
        <v>1</v>
      </c>
    </row>
    <row r="629" spans="1:6" x14ac:dyDescent="0.2">
      <c r="A629" t="s">
        <v>1043</v>
      </c>
      <c r="B629" t="s">
        <v>1059</v>
      </c>
      <c r="C629" t="s">
        <v>1253</v>
      </c>
      <c r="D629" t="s">
        <v>1254</v>
      </c>
      <c r="E629" s="1">
        <f>IF(COUNTIFS($A$2:A629,A629,$B$2:B629,B629)=1,1,0)</f>
        <v>0</v>
      </c>
      <c r="F629" s="1">
        <f>IF(C629="",0,IF(COUNTIFS($A$2:A629,A629,$B$2:B629,B629,$C$2:C629,C629)=1,1,0))</f>
        <v>1</v>
      </c>
    </row>
    <row r="630" spans="1:6" x14ac:dyDescent="0.2">
      <c r="A630" t="s">
        <v>1047</v>
      </c>
      <c r="B630" t="s">
        <v>1063</v>
      </c>
      <c r="C630" t="s">
        <v>1263</v>
      </c>
      <c r="D630" t="s">
        <v>1264</v>
      </c>
      <c r="E630" s="1">
        <f>IF(COUNTIFS($A$2:A630,A630,$B$2:B630,B630)=1,1,0)</f>
        <v>1</v>
      </c>
      <c r="F630" s="1">
        <f>IF(C630="",0,IF(COUNTIFS($A$2:A630,A630,$B$2:B630,B630,$C$2:C630,C630)=1,1,0))</f>
        <v>1</v>
      </c>
    </row>
    <row r="631" spans="1:6" x14ac:dyDescent="0.2">
      <c r="A631" t="s">
        <v>1047</v>
      </c>
      <c r="B631" t="s">
        <v>1063</v>
      </c>
      <c r="C631" t="s">
        <v>1259</v>
      </c>
      <c r="D631" t="s">
        <v>1274</v>
      </c>
      <c r="E631" s="1">
        <f>IF(COUNTIFS($A$2:A631,A631,$B$2:B631,B631)=1,1,0)</f>
        <v>0</v>
      </c>
      <c r="F631" s="1">
        <f>IF(C631="",0,IF(COUNTIFS($A$2:A631,A631,$B$2:B631,B631,$C$2:C631,C631)=1,1,0))</f>
        <v>1</v>
      </c>
    </row>
    <row r="632" spans="1:6" x14ac:dyDescent="0.2">
      <c r="A632" t="s">
        <v>1047</v>
      </c>
      <c r="B632" t="s">
        <v>1063</v>
      </c>
      <c r="C632" t="s">
        <v>1259</v>
      </c>
      <c r="D632" t="s">
        <v>1279</v>
      </c>
      <c r="E632" s="1">
        <f>IF(COUNTIFS($A$2:A632,A632,$B$2:B632,B632)=1,1,0)</f>
        <v>0</v>
      </c>
      <c r="F632" s="1">
        <f>IF(C632="",0,IF(COUNTIFS($A$2:A632,A632,$B$2:B632,B632,$C$2:C632,C632)=1,1,0))</f>
        <v>0</v>
      </c>
    </row>
    <row r="633" spans="1:6" x14ac:dyDescent="0.2">
      <c r="A633" t="s">
        <v>1047</v>
      </c>
      <c r="B633" t="s">
        <v>1061</v>
      </c>
      <c r="C633" t="s">
        <v>1268</v>
      </c>
      <c r="D633" t="s">
        <v>1269</v>
      </c>
      <c r="E633" s="1">
        <f>IF(COUNTIFS($A$2:A633,A633,$B$2:B633,B633)=1,1,0)</f>
        <v>1</v>
      </c>
      <c r="F633" s="1">
        <f>IF(C633="",0,IF(COUNTIFS($A$2:A633,A633,$B$2:B633,B633,$C$2:C633,C633)=1,1,0))</f>
        <v>1</v>
      </c>
    </row>
    <row r="634" spans="1:6" x14ac:dyDescent="0.2">
      <c r="A634" t="s">
        <v>1047</v>
      </c>
      <c r="B634" t="s">
        <v>1059</v>
      </c>
      <c r="C634" t="s">
        <v>1261</v>
      </c>
      <c r="D634" t="s">
        <v>1275</v>
      </c>
      <c r="E634" s="1">
        <f>IF(COUNTIFS($A$2:A634,A634,$B$2:B634,B634)=1,1,0)</f>
        <v>1</v>
      </c>
      <c r="F634" s="1">
        <f>IF(C634="",0,IF(COUNTIFS($A$2:A634,A634,$B$2:B634,B634,$C$2:C634,C634)=1,1,0))</f>
        <v>1</v>
      </c>
    </row>
    <row r="635" spans="1:6" x14ac:dyDescent="0.2">
      <c r="A635" t="s">
        <v>1047</v>
      </c>
      <c r="B635" t="s">
        <v>1059</v>
      </c>
      <c r="C635" t="s">
        <v>1253</v>
      </c>
      <c r="D635" t="s">
        <v>1254</v>
      </c>
      <c r="E635" s="1">
        <f>IF(COUNTIFS($A$2:A635,A635,$B$2:B635,B635)=1,1,0)</f>
        <v>0</v>
      </c>
      <c r="F635" s="1">
        <f>IF(C635="",0,IF(COUNTIFS($A$2:A635,A635,$B$2:B635,B635,$C$2:C635,C635)=1,1,0))</f>
        <v>1</v>
      </c>
    </row>
    <row r="636" spans="1:6" x14ac:dyDescent="0.2">
      <c r="A636" t="s">
        <v>1047</v>
      </c>
      <c r="B636" t="s">
        <v>1063</v>
      </c>
      <c r="C636" t="s">
        <v>1251</v>
      </c>
      <c r="D636" t="s">
        <v>1258</v>
      </c>
      <c r="E636" s="1">
        <f>IF(COUNTIFS($A$2:A636,A636,$B$2:B636,B636)=1,1,0)</f>
        <v>0</v>
      </c>
      <c r="F636" s="1">
        <f>IF(C636="",0,IF(COUNTIFS($A$2:A636,A636,$B$2:B636,B636,$C$2:C636,C636)=1,1,0))</f>
        <v>1</v>
      </c>
    </row>
    <row r="637" spans="1:6" x14ac:dyDescent="0.2">
      <c r="A637" t="s">
        <v>1047</v>
      </c>
      <c r="B637" t="s">
        <v>1063</v>
      </c>
      <c r="C637" t="s">
        <v>1251</v>
      </c>
      <c r="D637" t="s">
        <v>1276</v>
      </c>
      <c r="E637" s="1">
        <f>IF(COUNTIFS($A$2:A637,A637,$B$2:B637,B637)=1,1,0)</f>
        <v>0</v>
      </c>
      <c r="F637" s="1">
        <f>IF(C637="",0,IF(COUNTIFS($A$2:A637,A637,$B$2:B637,B637,$C$2:C637,C637)=1,1,0))</f>
        <v>0</v>
      </c>
    </row>
    <row r="638" spans="1:6" x14ac:dyDescent="0.2">
      <c r="A638" t="s">
        <v>1051</v>
      </c>
      <c r="B638" t="s">
        <v>1063</v>
      </c>
      <c r="C638" t="s">
        <v>1263</v>
      </c>
      <c r="D638" t="s">
        <v>1264</v>
      </c>
      <c r="E638" s="1">
        <f>IF(COUNTIFS($A$2:A638,A638,$B$2:B638,B638)=1,1,0)</f>
        <v>1</v>
      </c>
      <c r="F638" s="1">
        <f>IF(C638="",0,IF(COUNTIFS($A$2:A638,A638,$B$2:B638,B638,$C$2:C638,C638)=1,1,0))</f>
        <v>1</v>
      </c>
    </row>
    <row r="639" spans="1:6" x14ac:dyDescent="0.2">
      <c r="A639" t="s">
        <v>1051</v>
      </c>
      <c r="B639" t="s">
        <v>1063</v>
      </c>
      <c r="C639" t="s">
        <v>1251</v>
      </c>
      <c r="D639" t="s">
        <v>1276</v>
      </c>
      <c r="E639" s="1">
        <f>IF(COUNTIFS($A$2:A639,A639,$B$2:B639,B639)=1,1,0)</f>
        <v>0</v>
      </c>
      <c r="F639" s="1">
        <f>IF(C639="",0,IF(COUNTIFS($A$2:A639,A639,$B$2:B639,B639,$C$2:C639,C639)=1,1,0))</f>
        <v>1</v>
      </c>
    </row>
    <row r="640" spans="1:6" x14ac:dyDescent="0.2">
      <c r="A640" t="s">
        <v>1051</v>
      </c>
      <c r="B640" t="s">
        <v>1063</v>
      </c>
      <c r="C640" t="s">
        <v>1259</v>
      </c>
      <c r="D640" t="s">
        <v>1274</v>
      </c>
      <c r="E640" s="1">
        <f>IF(COUNTIFS($A$2:A640,A640,$B$2:B640,B640)=1,1,0)</f>
        <v>0</v>
      </c>
      <c r="F640" s="1">
        <f>IF(C640="",0,IF(COUNTIFS($A$2:A640,A640,$B$2:B640,B640,$C$2:C640,C640)=1,1,0))</f>
        <v>1</v>
      </c>
    </row>
    <row r="641" spans="1:6" x14ac:dyDescent="0.2">
      <c r="A641" t="s">
        <v>1051</v>
      </c>
      <c r="B641" t="s">
        <v>1063</v>
      </c>
      <c r="C641" t="s">
        <v>1251</v>
      </c>
      <c r="D641" t="s">
        <v>1258</v>
      </c>
      <c r="E641" s="1">
        <f>IF(COUNTIFS($A$2:A641,A641,$B$2:B641,B641)=1,1,0)</f>
        <v>0</v>
      </c>
      <c r="F641" s="1">
        <f>IF(C641="",0,IF(COUNTIFS($A$2:A641,A641,$B$2:B641,B641,$C$2:C641,C641)=1,1,0))</f>
        <v>0</v>
      </c>
    </row>
    <row r="642" spans="1:6" x14ac:dyDescent="0.2">
      <c r="A642" t="s">
        <v>1054</v>
      </c>
      <c r="B642" t="s">
        <v>1059</v>
      </c>
      <c r="C642" t="s">
        <v>1265</v>
      </c>
      <c r="D642" t="s">
        <v>1271</v>
      </c>
      <c r="E642" s="1">
        <f>IF(COUNTIFS($A$2:A642,A642,$B$2:B642,B642)=1,1,0)</f>
        <v>1</v>
      </c>
      <c r="F642" s="1">
        <f>IF(C642="",0,IF(COUNTIFS($A$2:A642,A642,$B$2:B642,B642,$C$2:C642,C642)=1,1,0))</f>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33B4E-A8B0-4544-B727-89062AEBBEE5}">
  <dimension ref="A1:K59"/>
  <sheetViews>
    <sheetView workbookViewId="0">
      <selection activeCell="A59" sqref="A59"/>
    </sheetView>
  </sheetViews>
  <sheetFormatPr baseColWidth="10" defaultColWidth="9.5" defaultRowHeight="15" x14ac:dyDescent="0.2"/>
  <cols>
    <col min="1" max="1" width="46.6640625" customWidth="1"/>
    <col min="2" max="2" width="24.5" customWidth="1"/>
    <col min="3" max="3" width="26.6640625" customWidth="1"/>
    <col min="4" max="4" width="13.33203125" customWidth="1"/>
    <col min="5" max="5" width="22.1640625" customWidth="1"/>
    <col min="6" max="6" width="18.83203125" customWidth="1"/>
    <col min="9" max="9" width="46" bestFit="1" customWidth="1"/>
    <col min="10" max="10" width="10.1640625" bestFit="1" customWidth="1"/>
    <col min="11" max="11" width="17.1640625" bestFit="1" customWidth="1"/>
  </cols>
  <sheetData>
    <row r="1" spans="1:11" ht="16" x14ac:dyDescent="0.2">
      <c r="A1" s="8" t="s">
        <v>1285</v>
      </c>
      <c r="B1" s="9"/>
      <c r="C1" s="9"/>
      <c r="D1" s="8">
        <f>COUNTA('Coded Responses'!F2:F335)</f>
        <v>317</v>
      </c>
      <c r="J1" t="s">
        <v>1286</v>
      </c>
      <c r="K1" t="s">
        <v>1291</v>
      </c>
    </row>
    <row r="2" spans="1:11" ht="16" x14ac:dyDescent="0.2">
      <c r="A2" s="3" t="s">
        <v>1243</v>
      </c>
      <c r="B2" s="3" t="s">
        <v>1281</v>
      </c>
      <c r="C2" s="3" t="s">
        <v>1282</v>
      </c>
      <c r="D2" s="3" t="s">
        <v>1286</v>
      </c>
      <c r="E2" s="3" t="s">
        <v>1287</v>
      </c>
      <c r="F2" s="3" t="s">
        <v>1288</v>
      </c>
      <c r="I2" s="2" t="s">
        <v>1061</v>
      </c>
      <c r="J2" s="10">
        <f>D3</f>
        <v>149</v>
      </c>
      <c r="K2">
        <f>J2/$D$1*100</f>
        <v>47.003154574132495</v>
      </c>
    </row>
    <row r="3" spans="1:11" ht="16" x14ac:dyDescent="0.2">
      <c r="A3" s="4" t="s">
        <v>1061</v>
      </c>
      <c r="B3" s="5"/>
      <c r="C3" s="5"/>
      <c r="D3" s="4">
        <f>SUMIFS('Long Format'!$E$2:$E$642,'Long Format'!$B$2:$B$642,A3)</f>
        <v>149</v>
      </c>
      <c r="E3" s="6">
        <f>IF($D$1=0,0,D3/$D$1)</f>
        <v>0.47003154574132494</v>
      </c>
      <c r="F3" s="4">
        <f>COUNTIFS('Long Format'!$B$2:$B$642,A3)</f>
        <v>184</v>
      </c>
      <c r="I3" s="2" t="s">
        <v>1063</v>
      </c>
      <c r="J3" s="10">
        <f>D17</f>
        <v>139</v>
      </c>
      <c r="K3">
        <f>J3/$D$1*100</f>
        <v>43.848580441640379</v>
      </c>
    </row>
    <row r="4" spans="1:11" ht="16" x14ac:dyDescent="0.2">
      <c r="A4" s="7" t="s">
        <v>1061</v>
      </c>
      <c r="B4" s="2" t="s">
        <v>1249</v>
      </c>
      <c r="C4" s="10"/>
      <c r="D4" s="2">
        <f>SUMIFS('Long Format'!$F$2:$F$642,'Long Format'!$B$2:$B$642,A4,'Long Format'!$C$2:$C$642,B4)</f>
        <v>128</v>
      </c>
      <c r="E4" s="11">
        <f>IF($D$1=0,0,D4/$D$1)</f>
        <v>0.40378548895899052</v>
      </c>
      <c r="F4" s="2">
        <f>COUNTIFS('Long Format'!$B$2:$B$642,A4,'Long Format'!$C$2:$C$642,B4)</f>
        <v>154</v>
      </c>
      <c r="I4" s="2" t="s">
        <v>1059</v>
      </c>
      <c r="J4" s="10">
        <f>D30</f>
        <v>140</v>
      </c>
      <c r="K4">
        <f>J4/$D$1*100</f>
        <v>44.164037854889585</v>
      </c>
    </row>
    <row r="5" spans="1:11" ht="16" x14ac:dyDescent="0.2">
      <c r="A5" s="7" t="s">
        <v>1061</v>
      </c>
      <c r="B5" s="7" t="s">
        <v>1249</v>
      </c>
      <c r="C5" s="7" t="s">
        <v>1267</v>
      </c>
      <c r="D5" s="7"/>
      <c r="F5" s="7">
        <f>COUNTIFS('Long Format'!$B$2:$B$642,A5,'Long Format'!$C$2:$C$642,B5,'Long Format'!$D$2:$D$642,C5)</f>
        <v>6</v>
      </c>
      <c r="I5" s="2" t="s">
        <v>1060</v>
      </c>
      <c r="J5" s="10">
        <f>D57</f>
        <v>42</v>
      </c>
      <c r="K5">
        <f>J5/$D$1*100</f>
        <v>13.249211356466878</v>
      </c>
    </row>
    <row r="6" spans="1:11" ht="16" x14ac:dyDescent="0.2">
      <c r="A6" s="7" t="s">
        <v>1061</v>
      </c>
      <c r="B6" s="7" t="s">
        <v>1249</v>
      </c>
      <c r="C6" s="7" t="s">
        <v>1257</v>
      </c>
      <c r="D6" s="7"/>
      <c r="F6" s="7">
        <f>COUNTIFS('Long Format'!$B$2:$B$642,A6,'Long Format'!$C$2:$C$642,B6,'Long Format'!$D$2:$D$642,C6)</f>
        <v>17</v>
      </c>
    </row>
    <row r="7" spans="1:11" ht="16" x14ac:dyDescent="0.2">
      <c r="A7" s="7" t="s">
        <v>1061</v>
      </c>
      <c r="B7" s="7" t="s">
        <v>1249</v>
      </c>
      <c r="C7" s="7" t="s">
        <v>1278</v>
      </c>
      <c r="D7" s="7"/>
      <c r="F7" s="7">
        <f>COUNTIFS('Long Format'!$B$2:$B$642,A7,'Long Format'!$C$2:$C$642,B7,'Long Format'!$D$2:$D$642,C7)</f>
        <v>21</v>
      </c>
      <c r="I7" s="2" t="s">
        <v>1249</v>
      </c>
      <c r="J7" s="10">
        <f>D4</f>
        <v>128</v>
      </c>
      <c r="K7">
        <f>J7/$J$2*100</f>
        <v>85.90604026845638</v>
      </c>
    </row>
    <row r="8" spans="1:11" ht="16" x14ac:dyDescent="0.2">
      <c r="A8" s="7" t="s">
        <v>1061</v>
      </c>
      <c r="B8" s="7" t="s">
        <v>1249</v>
      </c>
      <c r="C8" s="7" t="s">
        <v>1250</v>
      </c>
      <c r="D8" s="7"/>
      <c r="F8" s="7">
        <f>COUNTIFS('Long Format'!$B$2:$B$642,A8,'Long Format'!$C$2:$C$642,B8,'Long Format'!$D$2:$D$642,C8)</f>
        <v>59</v>
      </c>
      <c r="I8" s="7" t="s">
        <v>1267</v>
      </c>
      <c r="J8">
        <f>F5</f>
        <v>6</v>
      </c>
      <c r="K8">
        <f t="shared" ref="K8:K14" si="0">J8/$J$2*100</f>
        <v>4.0268456375838921</v>
      </c>
    </row>
    <row r="9" spans="1:11" ht="16" x14ac:dyDescent="0.2">
      <c r="A9" s="7" t="s">
        <v>1061</v>
      </c>
      <c r="B9" s="7" t="s">
        <v>1249</v>
      </c>
      <c r="C9" s="7" t="s">
        <v>1290</v>
      </c>
      <c r="D9" s="7"/>
      <c r="F9" s="7">
        <f>COUNTIFS('Long Format'!$B$2:$B$642,A9,'Long Format'!$C$2:$C$642,B9,'Long Format'!$D$2:$D$642,"")</f>
        <v>51</v>
      </c>
      <c r="I9" s="7" t="s">
        <v>1257</v>
      </c>
      <c r="J9">
        <f t="shared" ref="J9:J11" si="1">F6</f>
        <v>17</v>
      </c>
      <c r="K9">
        <f t="shared" si="0"/>
        <v>11.409395973154362</v>
      </c>
    </row>
    <row r="10" spans="1:11" ht="16" x14ac:dyDescent="0.2">
      <c r="A10" s="7" t="s">
        <v>1061</v>
      </c>
      <c r="B10" s="2" t="s">
        <v>1268</v>
      </c>
      <c r="C10" s="10"/>
      <c r="D10" s="2">
        <f>SUMIFS('Long Format'!$F$2:$F$642,'Long Format'!$B$2:$B$642,A10,'Long Format'!$C$2:$C$642,B10)</f>
        <v>18</v>
      </c>
      <c r="E10" s="11">
        <f>IF($D$1=0,0,D10/$D$1)</f>
        <v>5.6782334384858045E-2</v>
      </c>
      <c r="F10" s="2">
        <f>COUNTIFS('Long Format'!$B$2:$B$642,A10,'Long Format'!$C$2:$C$642,B10)</f>
        <v>18</v>
      </c>
      <c r="I10" s="7" t="s">
        <v>1278</v>
      </c>
      <c r="J10">
        <f t="shared" si="1"/>
        <v>21</v>
      </c>
      <c r="K10">
        <f t="shared" si="0"/>
        <v>14.093959731543624</v>
      </c>
    </row>
    <row r="11" spans="1:11" ht="16" x14ac:dyDescent="0.2">
      <c r="A11" s="7" t="s">
        <v>1061</v>
      </c>
      <c r="B11" s="7" t="s">
        <v>1268</v>
      </c>
      <c r="C11" s="7" t="s">
        <v>1277</v>
      </c>
      <c r="F11" s="7">
        <f>COUNTIFS('Long Format'!$B$2:$B$642,A11,'Long Format'!$C$2:$C$642,B11,'Long Format'!$D$2:$D$642,C11)</f>
        <v>7</v>
      </c>
      <c r="I11" s="7" t="s">
        <v>1250</v>
      </c>
      <c r="J11">
        <f t="shared" si="1"/>
        <v>59</v>
      </c>
      <c r="K11">
        <f t="shared" si="0"/>
        <v>39.597315436241608</v>
      </c>
    </row>
    <row r="12" spans="1:11" ht="16" x14ac:dyDescent="0.2">
      <c r="A12" s="7" t="s">
        <v>1061</v>
      </c>
      <c r="B12" s="7" t="s">
        <v>1268</v>
      </c>
      <c r="C12" s="7" t="s">
        <v>1269</v>
      </c>
      <c r="F12" s="7">
        <f>COUNTIFS('Long Format'!$B$2:$B$642,A12,'Long Format'!$C$2:$C$642,B12,'Long Format'!$D$2:$D$642,C12)</f>
        <v>10</v>
      </c>
      <c r="I12" s="2" t="s">
        <v>1268</v>
      </c>
      <c r="J12" s="10">
        <f>D10</f>
        <v>18</v>
      </c>
      <c r="K12">
        <f t="shared" si="0"/>
        <v>12.080536912751679</v>
      </c>
    </row>
    <row r="13" spans="1:11" ht="16" x14ac:dyDescent="0.2">
      <c r="A13" s="7" t="s">
        <v>1061</v>
      </c>
      <c r="B13" s="7" t="s">
        <v>1268</v>
      </c>
      <c r="C13" s="7" t="s">
        <v>1290</v>
      </c>
      <c r="F13" s="7">
        <f>COUNTIFS('Long Format'!$B$2:$B$642,A13,'Long Format'!$C$2:$C$642,B13,'Long Format'!$D$2:$D$642,"")</f>
        <v>1</v>
      </c>
      <c r="I13" s="7" t="s">
        <v>1277</v>
      </c>
      <c r="J13">
        <f>F11</f>
        <v>7</v>
      </c>
      <c r="K13">
        <f t="shared" si="0"/>
        <v>4.6979865771812079</v>
      </c>
    </row>
    <row r="14" spans="1:11" ht="16" x14ac:dyDescent="0.2">
      <c r="A14" s="7" t="s">
        <v>1061</v>
      </c>
      <c r="B14" s="2" t="s">
        <v>1248</v>
      </c>
      <c r="C14" s="10"/>
      <c r="D14" s="2">
        <f>SUMIFS('Long Format'!$F$2:$F$642,'Long Format'!$B$2:$B$642,A14,'Long Format'!$C$2:$C$642,B14)</f>
        <v>9</v>
      </c>
      <c r="E14" s="11">
        <f>IF($D$1=0,0,D14/$D$1)</f>
        <v>2.8391167192429023E-2</v>
      </c>
      <c r="F14" s="2">
        <f>COUNTIFS('Long Format'!$B$2:$B$642,A14,'Long Format'!$C$2:$C$642,B14)</f>
        <v>9</v>
      </c>
      <c r="I14" s="7" t="s">
        <v>1269</v>
      </c>
      <c r="J14">
        <f>F12</f>
        <v>10</v>
      </c>
      <c r="K14">
        <f t="shared" si="0"/>
        <v>6.7114093959731544</v>
      </c>
    </row>
    <row r="15" spans="1:11" ht="16" x14ac:dyDescent="0.2">
      <c r="A15" s="7" t="s">
        <v>1061</v>
      </c>
      <c r="B15" s="7" t="s">
        <v>1248</v>
      </c>
      <c r="C15" s="7" t="s">
        <v>1290</v>
      </c>
      <c r="F15" s="7">
        <f>COUNTIFS('Long Format'!$B$2:$B$642,A15,'Long Format'!$C$2:$C$642,B15,'Long Format'!$D$2:$D$642,"")</f>
        <v>9</v>
      </c>
      <c r="I15" s="2" t="s">
        <v>1248</v>
      </c>
      <c r="J15" s="10">
        <f>D14</f>
        <v>9</v>
      </c>
      <c r="K15">
        <f>J15/$J$2*100</f>
        <v>6.0402684563758395</v>
      </c>
    </row>
    <row r="16" spans="1:11" ht="16" x14ac:dyDescent="0.2">
      <c r="A16" s="7" t="s">
        <v>1061</v>
      </c>
      <c r="B16" s="7"/>
      <c r="F16" s="7">
        <f>COUNTIFS('Long Format'!$B$2:$B$642,A16,'Long Format'!$C$2:$C$642,"")</f>
        <v>3</v>
      </c>
    </row>
    <row r="17" spans="1:11" ht="16" x14ac:dyDescent="0.2">
      <c r="A17" s="4" t="s">
        <v>1063</v>
      </c>
      <c r="B17" s="5"/>
      <c r="C17" s="5"/>
      <c r="D17" s="4">
        <f>SUMIFS('Long Format'!$E$2:$E$642,'Long Format'!$B$2:$B$642,A17)</f>
        <v>139</v>
      </c>
      <c r="E17" s="6">
        <f>IF($D$1=0,0,D17/$D$1)</f>
        <v>0.43848580441640378</v>
      </c>
      <c r="F17" s="4">
        <f>COUNTIFS('Long Format'!$B$2:$B$642,A17)</f>
        <v>224</v>
      </c>
      <c r="I17" s="10"/>
    </row>
    <row r="18" spans="1:11" ht="16" x14ac:dyDescent="0.2">
      <c r="A18" s="7" t="s">
        <v>1063</v>
      </c>
      <c r="B18" s="2" t="s">
        <v>1251</v>
      </c>
      <c r="C18" s="10"/>
      <c r="D18" s="2">
        <f>SUMIFS('Long Format'!$F$2:$F$642,'Long Format'!$B$2:$B$642,A18,'Long Format'!$C$2:$C$642,B18)</f>
        <v>84</v>
      </c>
      <c r="E18" s="11">
        <f>IF($D$1=0,0,D18/$D$1)</f>
        <v>0.26498422712933756</v>
      </c>
      <c r="F18" s="2">
        <f>COUNTIFS('Long Format'!$B$2:$B$642,A18,'Long Format'!$C$2:$C$642,B18)</f>
        <v>94</v>
      </c>
      <c r="I18" s="7"/>
    </row>
    <row r="19" spans="1:11" ht="16" x14ac:dyDescent="0.2">
      <c r="A19" s="7" t="s">
        <v>1063</v>
      </c>
      <c r="B19" s="7" t="s">
        <v>1251</v>
      </c>
      <c r="C19" s="7" t="s">
        <v>1252</v>
      </c>
      <c r="F19" s="7">
        <f>COUNTIFS('Long Format'!$B$2:$B$642,A19,'Long Format'!$C$2:$C$642,B19,'Long Format'!$D$2:$D$642,C19)</f>
        <v>28</v>
      </c>
      <c r="I19" s="2" t="s">
        <v>1251</v>
      </c>
      <c r="J19" s="10">
        <f>D18</f>
        <v>84</v>
      </c>
      <c r="K19">
        <f>J19/$J$3*100</f>
        <v>60.431654676258994</v>
      </c>
    </row>
    <row r="20" spans="1:11" ht="16" x14ac:dyDescent="0.2">
      <c r="A20" s="7" t="s">
        <v>1063</v>
      </c>
      <c r="B20" s="7" t="s">
        <v>1251</v>
      </c>
      <c r="C20" s="7" t="s">
        <v>1276</v>
      </c>
      <c r="F20" s="7">
        <f>COUNTIFS('Long Format'!$B$2:$B$642,A20,'Long Format'!$C$2:$C$642,B20,'Long Format'!$D$2:$D$642,C20)</f>
        <v>30</v>
      </c>
      <c r="I20" s="7" t="s">
        <v>1252</v>
      </c>
      <c r="J20">
        <f>F19</f>
        <v>28</v>
      </c>
      <c r="K20">
        <f t="shared" ref="K20:K27" si="2">J20/$J$3*100</f>
        <v>20.14388489208633</v>
      </c>
    </row>
    <row r="21" spans="1:11" ht="16" x14ac:dyDescent="0.2">
      <c r="A21" s="7" t="s">
        <v>1063</v>
      </c>
      <c r="B21" s="7" t="s">
        <v>1251</v>
      </c>
      <c r="C21" s="7" t="s">
        <v>1258</v>
      </c>
      <c r="F21" s="7">
        <f>COUNTIFS('Long Format'!$B$2:$B$642,A21,'Long Format'!$C$2:$C$642,B21,'Long Format'!$D$2:$D$642,C21)</f>
        <v>17</v>
      </c>
      <c r="I21" s="7" t="s">
        <v>1276</v>
      </c>
      <c r="J21">
        <f t="shared" ref="J21:J22" si="3">F20</f>
        <v>30</v>
      </c>
      <c r="K21">
        <f t="shared" si="2"/>
        <v>21.582733812949641</v>
      </c>
    </row>
    <row r="22" spans="1:11" ht="16" x14ac:dyDescent="0.2">
      <c r="A22" s="7" t="s">
        <v>1063</v>
      </c>
      <c r="B22" s="7" t="s">
        <v>1251</v>
      </c>
      <c r="C22" s="7" t="s">
        <v>1290</v>
      </c>
      <c r="F22" s="7">
        <f>COUNTIFS('Long Format'!$B$2:$B$642,A22,'Long Format'!$C$2:$C$642,B22,'Long Format'!$D$2:$D$642,"")</f>
        <v>19</v>
      </c>
      <c r="I22" s="7" t="s">
        <v>1258</v>
      </c>
      <c r="J22">
        <f t="shared" si="3"/>
        <v>17</v>
      </c>
      <c r="K22">
        <f t="shared" si="2"/>
        <v>12.23021582733813</v>
      </c>
    </row>
    <row r="23" spans="1:11" ht="16" x14ac:dyDescent="0.2">
      <c r="A23" s="7" t="s">
        <v>1063</v>
      </c>
      <c r="B23" s="2" t="s">
        <v>1259</v>
      </c>
      <c r="C23" s="10"/>
      <c r="D23" s="2">
        <f>SUMIFS('Long Format'!$F$2:$F$642,'Long Format'!$B$2:$B$642,A23,'Long Format'!$C$2:$C$642,B23)</f>
        <v>75</v>
      </c>
      <c r="E23" s="11">
        <f>IF($D$1=0,0,D23/$D$1)</f>
        <v>0.23659305993690852</v>
      </c>
      <c r="F23" s="2">
        <f>COUNTIFS('Long Format'!$B$2:$B$642,A23,'Long Format'!$C$2:$C$642,B23)</f>
        <v>77</v>
      </c>
      <c r="I23" s="2" t="s">
        <v>1259</v>
      </c>
      <c r="J23" s="10">
        <f>D23</f>
        <v>75</v>
      </c>
      <c r="K23">
        <f t="shared" si="2"/>
        <v>53.956834532374096</v>
      </c>
    </row>
    <row r="24" spans="1:11" ht="16" x14ac:dyDescent="0.2">
      <c r="A24" s="7" t="s">
        <v>1063</v>
      </c>
      <c r="B24" s="7" t="s">
        <v>1259</v>
      </c>
      <c r="C24" s="7" t="s">
        <v>1274</v>
      </c>
      <c r="F24" s="7">
        <f>COUNTIFS('Long Format'!$B$2:$B$642,A24,'Long Format'!$C$2:$C$642,B24,'Long Format'!$D$2:$D$642,C24)</f>
        <v>25</v>
      </c>
      <c r="I24" s="7" t="s">
        <v>1274</v>
      </c>
      <c r="J24">
        <f>F24</f>
        <v>25</v>
      </c>
      <c r="K24">
        <f t="shared" si="2"/>
        <v>17.985611510791365</v>
      </c>
    </row>
    <row r="25" spans="1:11" ht="16" x14ac:dyDescent="0.2">
      <c r="A25" s="7" t="s">
        <v>1063</v>
      </c>
      <c r="B25" s="7" t="s">
        <v>1259</v>
      </c>
      <c r="C25" s="7" t="s">
        <v>1279</v>
      </c>
      <c r="F25" s="7">
        <f>COUNTIFS('Long Format'!$B$2:$B$642,A25,'Long Format'!$C$2:$C$642,B25,'Long Format'!$D$2:$D$642,C25)</f>
        <v>9</v>
      </c>
      <c r="I25" s="7" t="s">
        <v>1279</v>
      </c>
      <c r="J25">
        <f>F25</f>
        <v>9</v>
      </c>
      <c r="K25">
        <f t="shared" si="2"/>
        <v>6.4748201438848918</v>
      </c>
    </row>
    <row r="26" spans="1:11" ht="16" x14ac:dyDescent="0.2">
      <c r="A26" s="7" t="s">
        <v>1063</v>
      </c>
      <c r="B26" s="7" t="s">
        <v>1259</v>
      </c>
      <c r="C26" s="7" t="s">
        <v>1290</v>
      </c>
      <c r="F26" s="7">
        <f>COUNTIFS('Long Format'!$B$2:$B$642,A26,'Long Format'!$C$2:$C$642,B26,'Long Format'!$D$2:$D$642,"")</f>
        <v>43</v>
      </c>
      <c r="I26" s="2" t="s">
        <v>1263</v>
      </c>
      <c r="J26" s="10">
        <f>D27</f>
        <v>53</v>
      </c>
      <c r="K26">
        <f t="shared" si="2"/>
        <v>38.129496402877699</v>
      </c>
    </row>
    <row r="27" spans="1:11" ht="16" x14ac:dyDescent="0.2">
      <c r="A27" s="7" t="s">
        <v>1063</v>
      </c>
      <c r="B27" s="2" t="s">
        <v>1263</v>
      </c>
      <c r="C27" s="10"/>
      <c r="D27" s="2">
        <f>SUMIFS('Long Format'!$F$2:$F$642,'Long Format'!$B$2:$B$642,A27,'Long Format'!$C$2:$C$642,B27)</f>
        <v>53</v>
      </c>
      <c r="E27" s="11">
        <f>IF($D$1=0,0,D27/$D$1)</f>
        <v>0.16719242902208201</v>
      </c>
      <c r="F27" s="2">
        <f>COUNTIFS('Long Format'!$B$2:$B$642,A27,'Long Format'!$C$2:$C$642,B27)</f>
        <v>53</v>
      </c>
      <c r="I27" s="7" t="s">
        <v>1264</v>
      </c>
      <c r="J27">
        <f>F28</f>
        <v>52</v>
      </c>
      <c r="K27">
        <f t="shared" si="2"/>
        <v>37.410071942446045</v>
      </c>
    </row>
    <row r="28" spans="1:11" ht="16" x14ac:dyDescent="0.2">
      <c r="A28" s="7" t="s">
        <v>1063</v>
      </c>
      <c r="B28" s="7" t="s">
        <v>1263</v>
      </c>
      <c r="C28" s="7" t="s">
        <v>1264</v>
      </c>
      <c r="F28" s="7">
        <f>COUNTIFS('Long Format'!$B$2:$B$642,A28,'Long Format'!$C$2:$C$642,B28,'Long Format'!$D$2:$D$642,C28)</f>
        <v>52</v>
      </c>
      <c r="I28" s="10"/>
    </row>
    <row r="29" spans="1:11" ht="16" x14ac:dyDescent="0.2">
      <c r="A29" s="7" t="s">
        <v>1063</v>
      </c>
      <c r="B29" s="7" t="s">
        <v>1263</v>
      </c>
      <c r="C29" s="7" t="s">
        <v>1290</v>
      </c>
      <c r="F29" s="7">
        <f>COUNTIFS('Long Format'!$B$2:$B$642,A29,'Long Format'!$C$2:$C$642,B29,'Long Format'!$D$2:$D$642,"")</f>
        <v>1</v>
      </c>
    </row>
    <row r="30" spans="1:11" ht="16" x14ac:dyDescent="0.2">
      <c r="A30" s="4" t="s">
        <v>1059</v>
      </c>
      <c r="B30" s="5"/>
      <c r="C30" s="5"/>
      <c r="D30" s="4">
        <f>SUMIFS('Long Format'!$E$2:$E$642,'Long Format'!$B$2:$B$642,A30)</f>
        <v>140</v>
      </c>
      <c r="E30" s="6">
        <f>IF($D$1=0,0,D30/$D$1)</f>
        <v>0.44164037854889587</v>
      </c>
      <c r="F30" s="4">
        <f>COUNTIFS('Long Format'!$B$2:$B$642,A30)</f>
        <v>191</v>
      </c>
    </row>
    <row r="31" spans="1:11" ht="16" x14ac:dyDescent="0.2">
      <c r="A31" s="7" t="s">
        <v>1059</v>
      </c>
      <c r="B31" s="2" t="s">
        <v>1255</v>
      </c>
      <c r="C31" s="10"/>
      <c r="D31" s="2">
        <f>SUMIFS('Long Format'!$F$2:$F$642,'Long Format'!$B$2:$B$642,A31,'Long Format'!$C$2:$C$642,B31)</f>
        <v>18</v>
      </c>
      <c r="E31" s="11">
        <f>IF($D$1=0,0,D31/$D$1)</f>
        <v>5.6782334384858045E-2</v>
      </c>
      <c r="F31" s="2">
        <f>COUNTIFS('Long Format'!$B$2:$B$642,A31,'Long Format'!$C$2:$C$642,B31)</f>
        <v>19</v>
      </c>
      <c r="I31" s="2" t="s">
        <v>1255</v>
      </c>
      <c r="J31" s="10">
        <f>D31</f>
        <v>18</v>
      </c>
      <c r="K31">
        <f>J31/$J$4*100</f>
        <v>12.857142857142856</v>
      </c>
    </row>
    <row r="32" spans="1:11" ht="16" x14ac:dyDescent="0.2">
      <c r="A32" s="7" t="s">
        <v>1059</v>
      </c>
      <c r="B32" s="7" t="s">
        <v>1255</v>
      </c>
      <c r="C32" s="7" t="s">
        <v>1256</v>
      </c>
      <c r="F32" s="7">
        <f>COUNTIFS('Long Format'!$B$2:$B$642,A32,'Long Format'!$C$2:$C$642,B32,'Long Format'!$D$2:$D$642,C32)</f>
        <v>10</v>
      </c>
      <c r="I32" s="7" t="s">
        <v>1256</v>
      </c>
      <c r="J32">
        <f>F32</f>
        <v>10</v>
      </c>
      <c r="K32">
        <f t="shared" ref="K32:K50" si="4">J32/$J$4*100</f>
        <v>7.1428571428571423</v>
      </c>
    </row>
    <row r="33" spans="1:11" ht="16" x14ac:dyDescent="0.2">
      <c r="A33" s="7" t="s">
        <v>1059</v>
      </c>
      <c r="B33" s="7" t="s">
        <v>1255</v>
      </c>
      <c r="C33" s="7" t="s">
        <v>1270</v>
      </c>
      <c r="F33" s="7">
        <f>COUNTIFS('Long Format'!$B$2:$B$642,A33,'Long Format'!$C$2:$C$642,B33,'Long Format'!$D$2:$D$642,C33)</f>
        <v>9</v>
      </c>
      <c r="I33" s="7" t="s">
        <v>1270</v>
      </c>
      <c r="J33">
        <f>F33</f>
        <v>9</v>
      </c>
      <c r="K33">
        <f t="shared" si="4"/>
        <v>6.4285714285714279</v>
      </c>
    </row>
    <row r="34" spans="1:11" ht="16" x14ac:dyDescent="0.2">
      <c r="A34" s="7" t="s">
        <v>1059</v>
      </c>
      <c r="B34" s="7" t="s">
        <v>1255</v>
      </c>
      <c r="C34" s="7" t="s">
        <v>1290</v>
      </c>
      <c r="F34" s="7">
        <f>COUNTIFS('Long Format'!$B$2:$B$642,A34,'Long Format'!$C$2:$C$642,B34,'Long Format'!$D$2:$D$642,"")</f>
        <v>0</v>
      </c>
      <c r="I34" s="2" t="s">
        <v>1265</v>
      </c>
      <c r="J34" s="10">
        <f>D45</f>
        <v>56</v>
      </c>
      <c r="K34">
        <f t="shared" si="4"/>
        <v>40</v>
      </c>
    </row>
    <row r="35" spans="1:11" ht="16" x14ac:dyDescent="0.2">
      <c r="A35" s="7" t="s">
        <v>1059</v>
      </c>
      <c r="B35" s="2" t="s">
        <v>1244</v>
      </c>
      <c r="C35" s="10"/>
      <c r="D35" s="2">
        <f>SUMIFS('Long Format'!$F$2:$F$642,'Long Format'!$B$2:$B$642,A35,'Long Format'!$C$2:$C$642,B35)</f>
        <v>17</v>
      </c>
      <c r="E35" s="11">
        <f>IF($D$1=0,0,D35/$D$1)</f>
        <v>5.362776025236593E-2</v>
      </c>
      <c r="F35" s="2">
        <f>COUNTIFS('Long Format'!$B$2:$B$642,A35,'Long Format'!$C$2:$C$642,B35)</f>
        <v>17</v>
      </c>
      <c r="I35" s="7" t="s">
        <v>1271</v>
      </c>
      <c r="J35">
        <f>F46</f>
        <v>35</v>
      </c>
      <c r="K35">
        <f t="shared" si="4"/>
        <v>25</v>
      </c>
    </row>
    <row r="36" spans="1:11" ht="16" x14ac:dyDescent="0.2">
      <c r="A36" s="7" t="s">
        <v>1059</v>
      </c>
      <c r="B36" s="7" t="s">
        <v>1244</v>
      </c>
      <c r="C36" s="7" t="s">
        <v>1245</v>
      </c>
      <c r="F36" s="7">
        <f>COUNTIFS('Long Format'!$B$2:$B$642,A36,'Long Format'!$C$2:$C$642,B36,'Long Format'!$D$2:$D$642,C36)</f>
        <v>16</v>
      </c>
      <c r="I36" s="7" t="s">
        <v>1266</v>
      </c>
      <c r="J36">
        <f>F47</f>
        <v>29</v>
      </c>
      <c r="K36">
        <f t="shared" si="4"/>
        <v>20.714285714285715</v>
      </c>
    </row>
    <row r="37" spans="1:11" ht="16" x14ac:dyDescent="0.2">
      <c r="A37" s="7" t="s">
        <v>1059</v>
      </c>
      <c r="B37" s="7" t="s">
        <v>1244</v>
      </c>
      <c r="C37" s="7" t="s">
        <v>21</v>
      </c>
      <c r="F37" s="7">
        <f>COUNTIFS('Long Format'!$B$2:$B$642,A37,'Long Format'!$C$2:$C$642,B37,'Long Format'!$D$2:$D$642,C37)</f>
        <v>1</v>
      </c>
      <c r="I37" s="2" t="s">
        <v>1253</v>
      </c>
      <c r="J37" s="10">
        <f>D49</f>
        <v>20</v>
      </c>
      <c r="K37">
        <f t="shared" si="4"/>
        <v>14.285714285714285</v>
      </c>
    </row>
    <row r="38" spans="1:11" ht="16" x14ac:dyDescent="0.2">
      <c r="A38" s="7" t="s">
        <v>1059</v>
      </c>
      <c r="B38" s="7" t="s">
        <v>1244</v>
      </c>
      <c r="C38" s="7" t="s">
        <v>1290</v>
      </c>
      <c r="F38" s="7">
        <f>COUNTIFS('Long Format'!$B$2:$B$642,A38,'Long Format'!$C$2:$C$642,B38,'Long Format'!$D$2:$D$642,"")</f>
        <v>0</v>
      </c>
      <c r="I38" s="7" t="s">
        <v>1280</v>
      </c>
      <c r="J38">
        <f>F50</f>
        <v>2</v>
      </c>
      <c r="K38">
        <f t="shared" si="4"/>
        <v>1.4285714285714286</v>
      </c>
    </row>
    <row r="39" spans="1:11" ht="16" x14ac:dyDescent="0.2">
      <c r="A39" s="7" t="s">
        <v>1059</v>
      </c>
      <c r="B39" s="2" t="s">
        <v>1261</v>
      </c>
      <c r="C39" s="10"/>
      <c r="D39" s="2">
        <f>SUMIFS('Long Format'!$F$2:$F$642,'Long Format'!$B$2:$B$642,A39,'Long Format'!$C$2:$C$642,B39)</f>
        <v>38</v>
      </c>
      <c r="E39" s="11">
        <f>IF($D$1=0,0,D39/$D$1)</f>
        <v>0.11987381703470032</v>
      </c>
      <c r="F39" s="2">
        <f>COUNTIFS('Long Format'!$B$2:$B$642,A39,'Long Format'!$C$2:$C$642,B39)</f>
        <v>43</v>
      </c>
      <c r="I39" s="7" t="s">
        <v>1254</v>
      </c>
      <c r="J39">
        <f>F51</f>
        <v>18</v>
      </c>
      <c r="K39">
        <f t="shared" si="4"/>
        <v>12.857142857142856</v>
      </c>
    </row>
    <row r="40" spans="1:11" ht="16" x14ac:dyDescent="0.2">
      <c r="A40" s="7" t="s">
        <v>1059</v>
      </c>
      <c r="B40" s="7" t="s">
        <v>1261</v>
      </c>
      <c r="C40" s="7" t="s">
        <v>1272</v>
      </c>
      <c r="F40" s="7">
        <f>COUNTIFS('Long Format'!$B$2:$B$642,A40,'Long Format'!$C$2:$C$642,B40,'Long Format'!$D$2:$D$642,C40)</f>
        <v>15</v>
      </c>
      <c r="I40" s="2" t="s">
        <v>1261</v>
      </c>
      <c r="J40" s="10">
        <f>D39</f>
        <v>38</v>
      </c>
      <c r="K40">
        <f t="shared" si="4"/>
        <v>27.142857142857142</v>
      </c>
    </row>
    <row r="41" spans="1:11" ht="16" x14ac:dyDescent="0.2">
      <c r="A41" s="7" t="s">
        <v>1059</v>
      </c>
      <c r="B41" s="7" t="s">
        <v>1261</v>
      </c>
      <c r="C41" s="7" t="s">
        <v>1275</v>
      </c>
      <c r="F41" s="7">
        <f>COUNTIFS('Long Format'!$B$2:$B$642,A41,'Long Format'!$C$2:$C$642,B41,'Long Format'!$D$2:$D$642,C41)</f>
        <v>8</v>
      </c>
      <c r="I41" s="7" t="s">
        <v>1272</v>
      </c>
      <c r="J41">
        <f>F40</f>
        <v>15</v>
      </c>
      <c r="K41">
        <f t="shared" si="4"/>
        <v>10.714285714285714</v>
      </c>
    </row>
    <row r="42" spans="1:11" ht="16" x14ac:dyDescent="0.2">
      <c r="A42" s="7" t="s">
        <v>1059</v>
      </c>
      <c r="B42" s="7" t="s">
        <v>1261</v>
      </c>
      <c r="C42" s="7" t="s">
        <v>1262</v>
      </c>
      <c r="F42" s="7">
        <f>COUNTIFS('Long Format'!$B$2:$B$642,A42,'Long Format'!$C$2:$C$642,B42,'Long Format'!$D$2:$D$642,C42)</f>
        <v>8</v>
      </c>
      <c r="I42" s="7" t="s">
        <v>1275</v>
      </c>
      <c r="J42">
        <f>F41</f>
        <v>8</v>
      </c>
      <c r="K42">
        <f t="shared" si="4"/>
        <v>5.7142857142857144</v>
      </c>
    </row>
    <row r="43" spans="1:11" ht="16" x14ac:dyDescent="0.2">
      <c r="A43" s="7" t="s">
        <v>1059</v>
      </c>
      <c r="B43" s="7" t="s">
        <v>1261</v>
      </c>
      <c r="C43" s="7" t="s">
        <v>1273</v>
      </c>
      <c r="F43" s="7">
        <f>COUNTIFS('Long Format'!$B$2:$B$642,A43,'Long Format'!$C$2:$C$642,B43,'Long Format'!$D$2:$D$642,C43)</f>
        <v>9</v>
      </c>
      <c r="I43" s="7" t="s">
        <v>1262</v>
      </c>
      <c r="J43">
        <f>F42</f>
        <v>8</v>
      </c>
      <c r="K43">
        <f t="shared" si="4"/>
        <v>5.7142857142857144</v>
      </c>
    </row>
    <row r="44" spans="1:11" ht="16" x14ac:dyDescent="0.2">
      <c r="A44" s="7" t="s">
        <v>1059</v>
      </c>
      <c r="B44" s="7" t="s">
        <v>1261</v>
      </c>
      <c r="C44" s="7" t="s">
        <v>1290</v>
      </c>
      <c r="F44" s="7">
        <f>COUNTIFS('Long Format'!$B$2:$B$642,A44,'Long Format'!$C$2:$C$642,B44,'Long Format'!$D$2:$D$642,"")</f>
        <v>3</v>
      </c>
      <c r="I44" s="7" t="s">
        <v>1273</v>
      </c>
      <c r="J44">
        <f>F43</f>
        <v>9</v>
      </c>
      <c r="K44">
        <f t="shared" si="4"/>
        <v>6.4285714285714279</v>
      </c>
    </row>
    <row r="45" spans="1:11" ht="16" x14ac:dyDescent="0.2">
      <c r="A45" s="7" t="s">
        <v>1059</v>
      </c>
      <c r="B45" s="2" t="s">
        <v>1265</v>
      </c>
      <c r="C45" s="10"/>
      <c r="D45" s="2">
        <f>SUMIFS('Long Format'!$F$2:$F$642,'Long Format'!$B$2:$B$642,A45,'Long Format'!$C$2:$C$642,B45)</f>
        <v>56</v>
      </c>
      <c r="E45" s="11">
        <f>IF($D$1=0,0,D45/$D$1)</f>
        <v>0.17665615141955837</v>
      </c>
      <c r="F45" s="2">
        <f>COUNTIFS('Long Format'!$B$2:$B$642,A45,'Long Format'!$C$2:$C$642,B45)</f>
        <v>64</v>
      </c>
      <c r="I45" s="2" t="s">
        <v>1244</v>
      </c>
      <c r="J45" s="10">
        <f>D35</f>
        <v>17</v>
      </c>
      <c r="K45">
        <f t="shared" si="4"/>
        <v>12.142857142857142</v>
      </c>
    </row>
    <row r="46" spans="1:11" ht="16" x14ac:dyDescent="0.2">
      <c r="A46" s="7" t="s">
        <v>1059</v>
      </c>
      <c r="B46" s="7" t="s">
        <v>1265</v>
      </c>
      <c r="C46" s="7" t="s">
        <v>1271</v>
      </c>
      <c r="F46" s="7">
        <f>COUNTIFS('Long Format'!$B$2:$B$642,A46,'Long Format'!$C$2:$C$642,B46,'Long Format'!$D$2:$D$642,C46)</f>
        <v>35</v>
      </c>
      <c r="I46" s="7" t="s">
        <v>1245</v>
      </c>
      <c r="J46">
        <f>F36</f>
        <v>16</v>
      </c>
      <c r="K46">
        <f t="shared" si="4"/>
        <v>11.428571428571429</v>
      </c>
    </row>
    <row r="47" spans="1:11" ht="16" x14ac:dyDescent="0.2">
      <c r="A47" s="7" t="s">
        <v>1059</v>
      </c>
      <c r="B47" s="7" t="s">
        <v>1265</v>
      </c>
      <c r="C47" s="7" t="s">
        <v>1266</v>
      </c>
      <c r="F47" s="7">
        <f>COUNTIFS('Long Format'!$B$2:$B$642,A47,'Long Format'!$C$2:$C$642,B47,'Long Format'!$D$2:$D$642,C47)</f>
        <v>29</v>
      </c>
      <c r="I47" s="7" t="s">
        <v>21</v>
      </c>
      <c r="J47">
        <f>F37</f>
        <v>1</v>
      </c>
      <c r="K47">
        <f t="shared" si="4"/>
        <v>0.7142857142857143</v>
      </c>
    </row>
    <row r="48" spans="1:11" ht="16" x14ac:dyDescent="0.2">
      <c r="A48" s="7" t="s">
        <v>1059</v>
      </c>
      <c r="B48" s="7" t="s">
        <v>1265</v>
      </c>
      <c r="C48" s="7" t="s">
        <v>1290</v>
      </c>
      <c r="F48" s="7">
        <f>COUNTIFS('Long Format'!$B$2:$B$642,A48,'Long Format'!$C$2:$C$642,B48,'Long Format'!$D$2:$D$642,"")</f>
        <v>0</v>
      </c>
      <c r="I48" s="2" t="s">
        <v>1246</v>
      </c>
      <c r="J48" s="10">
        <f>D53</f>
        <v>28</v>
      </c>
      <c r="K48">
        <f t="shared" si="4"/>
        <v>20</v>
      </c>
    </row>
    <row r="49" spans="1:11" ht="16" x14ac:dyDescent="0.2">
      <c r="A49" s="7" t="s">
        <v>1059</v>
      </c>
      <c r="B49" s="2" t="s">
        <v>1253</v>
      </c>
      <c r="C49" s="10"/>
      <c r="D49" s="2">
        <f>SUMIFS('Long Format'!$F$2:$F$642,'Long Format'!$B$2:$B$642,A49,'Long Format'!$C$2:$C$642,B49)</f>
        <v>20</v>
      </c>
      <c r="E49" s="11">
        <f>IF($D$1=0,0,D49/$D$1)</f>
        <v>6.3091482649842268E-2</v>
      </c>
      <c r="F49" s="2">
        <f>COUNTIFS('Long Format'!$B$2:$B$642,A49,'Long Format'!$C$2:$C$642,B49)</f>
        <v>20</v>
      </c>
      <c r="I49" s="7" t="s">
        <v>1260</v>
      </c>
      <c r="J49">
        <f>F54</f>
        <v>5</v>
      </c>
      <c r="K49">
        <f t="shared" si="4"/>
        <v>3.5714285714285712</v>
      </c>
    </row>
    <row r="50" spans="1:11" ht="16" x14ac:dyDescent="0.2">
      <c r="A50" s="7" t="s">
        <v>1059</v>
      </c>
      <c r="B50" s="7" t="s">
        <v>1253</v>
      </c>
      <c r="C50" s="7" t="s">
        <v>1280</v>
      </c>
      <c r="F50" s="7">
        <f>COUNTIFS('Long Format'!$B$2:$B$642,A50,'Long Format'!$C$2:$C$642,B50,'Long Format'!$D$2:$D$642,C50)</f>
        <v>2</v>
      </c>
      <c r="I50" s="7" t="s">
        <v>1247</v>
      </c>
      <c r="J50">
        <f>F55</f>
        <v>22</v>
      </c>
      <c r="K50">
        <f t="shared" si="4"/>
        <v>15.714285714285714</v>
      </c>
    </row>
    <row r="51" spans="1:11" ht="16" x14ac:dyDescent="0.2">
      <c r="A51" s="7" t="s">
        <v>1059</v>
      </c>
      <c r="B51" s="7" t="s">
        <v>1253</v>
      </c>
      <c r="C51" s="7" t="s">
        <v>1254</v>
      </c>
      <c r="F51" s="7">
        <f>COUNTIFS('Long Format'!$B$2:$B$642,A51,'Long Format'!$C$2:$C$642,B51,'Long Format'!$D$2:$D$642,C51)</f>
        <v>18</v>
      </c>
    </row>
    <row r="52" spans="1:11" ht="16" x14ac:dyDescent="0.2">
      <c r="A52" s="7" t="s">
        <v>1059</v>
      </c>
      <c r="B52" s="7" t="s">
        <v>1253</v>
      </c>
      <c r="C52" s="7" t="s">
        <v>1290</v>
      </c>
      <c r="F52" s="7">
        <f>COUNTIFS('Long Format'!$B$2:$B$642,A52,'Long Format'!$C$2:$C$642,B52,'Long Format'!$D$2:$D$642,"")</f>
        <v>0</v>
      </c>
    </row>
    <row r="53" spans="1:11" ht="16" x14ac:dyDescent="0.2">
      <c r="A53" s="7" t="s">
        <v>1059</v>
      </c>
      <c r="B53" s="2" t="s">
        <v>1246</v>
      </c>
      <c r="C53" s="10"/>
      <c r="D53" s="2">
        <f>SUMIFS('Long Format'!$F$2:$F$642,'Long Format'!$B$2:$B$642,A53,'Long Format'!$C$2:$C$642,B53)</f>
        <v>28</v>
      </c>
      <c r="E53" s="11">
        <f>IF($D$1=0,0,D53/$D$1)</f>
        <v>8.8328075709779186E-2</v>
      </c>
      <c r="F53" s="2">
        <f>COUNTIFS('Long Format'!$B$2:$B$642,A53,'Long Format'!$C$2:$C$642,B53)</f>
        <v>28</v>
      </c>
    </row>
    <row r="54" spans="1:11" ht="16" x14ac:dyDescent="0.2">
      <c r="A54" s="7" t="s">
        <v>1059</v>
      </c>
      <c r="B54" s="7" t="s">
        <v>1246</v>
      </c>
      <c r="C54" s="7" t="s">
        <v>1260</v>
      </c>
      <c r="F54" s="7">
        <f>COUNTIFS('Long Format'!$B$2:$B$642,A54,'Long Format'!$C$2:$C$642,B54,'Long Format'!$D$2:$D$642,C54)</f>
        <v>5</v>
      </c>
    </row>
    <row r="55" spans="1:11" ht="16" x14ac:dyDescent="0.2">
      <c r="A55" s="7" t="s">
        <v>1059</v>
      </c>
      <c r="B55" s="7" t="s">
        <v>1246</v>
      </c>
      <c r="C55" s="7" t="s">
        <v>1247</v>
      </c>
      <c r="F55" s="7">
        <f>COUNTIFS('Long Format'!$B$2:$B$642,A55,'Long Format'!$C$2:$C$642,B55,'Long Format'!$D$2:$D$642,C55)</f>
        <v>22</v>
      </c>
    </row>
    <row r="56" spans="1:11" ht="16" x14ac:dyDescent="0.2">
      <c r="A56" s="7" t="s">
        <v>1059</v>
      </c>
      <c r="B56" s="7" t="s">
        <v>1246</v>
      </c>
      <c r="C56" s="7" t="s">
        <v>1290</v>
      </c>
      <c r="F56" s="7">
        <f>COUNTIFS('Long Format'!$B$2:$B$642,A56,'Long Format'!$C$2:$C$642,B56,'Long Format'!$D$2:$D$642,"")</f>
        <v>1</v>
      </c>
    </row>
    <row r="57" spans="1:11" ht="16" x14ac:dyDescent="0.2">
      <c r="A57" s="4" t="s">
        <v>1060</v>
      </c>
      <c r="B57" s="5"/>
      <c r="C57" s="5"/>
      <c r="D57" s="4">
        <f>SUMIFS('Long Format'!$E$2:$E$642,'Long Format'!$B$2:$B$642,A57)</f>
        <v>42</v>
      </c>
      <c r="E57" s="6">
        <f>IF($D$1=0,0,D57/$D$1)</f>
        <v>0.13249211356466878</v>
      </c>
      <c r="F57" s="4">
        <f>COUNTIFS('Long Format'!$B$2:$B$642,A57)</f>
        <v>42</v>
      </c>
    </row>
    <row r="58" spans="1:11" ht="16" x14ac:dyDescent="0.2">
      <c r="A58" s="8" t="s">
        <v>1305</v>
      </c>
      <c r="B58" s="9"/>
      <c r="C58" s="9"/>
      <c r="D58" s="8">
        <f>COUNTBLANK('Coded Responses'!F2:F335)</f>
        <v>17</v>
      </c>
    </row>
    <row r="59" spans="1:11" ht="16" x14ac:dyDescent="0.2">
      <c r="A59" s="8" t="s">
        <v>1289</v>
      </c>
      <c r="B59" s="9"/>
      <c r="C59" s="9"/>
      <c r="D59" s="9"/>
      <c r="E59" s="9"/>
      <c r="F59" s="8">
        <f>COUNTA('Long Format'!$B$2:$B$642)</f>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Coded Responses</vt:lpstr>
      <vt:lpstr>Long Format</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Simmons</dc:creator>
  <cp:lastModifiedBy>Blake Alexander Simmons</cp:lastModifiedBy>
  <dcterms:created xsi:type="dcterms:W3CDTF">2026-10-15T16:16:41Z</dcterms:created>
  <dcterms:modified xsi:type="dcterms:W3CDTF">2026-10-23T19:58:24Z</dcterms:modified>
</cp:coreProperties>
</file>